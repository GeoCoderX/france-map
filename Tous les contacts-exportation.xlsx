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Junaid\FRANCE\VS CODE\"/>
    </mc:Choice>
  </mc:AlternateContent>
  <xr:revisionPtr revIDLastSave="0" documentId="13_ncr:1_{12C6E2E7-6F29-42CB-98A1-87340B7B6996}" xr6:coauthVersionLast="36" xr6:coauthVersionMax="36" xr10:uidLastSave="{00000000-0000-0000-0000-000000000000}"/>
  <bookViews>
    <workbookView xWindow="0" yWindow="0" windowWidth="19200" windowHeight="7305" xr2:uid="{00000000-000D-0000-FFFF-FFFF00000000}"/>
  </bookViews>
  <sheets>
    <sheet name="Tous les contacts-exportation" sheetId="1" r:id="rId1"/>
  </sheets>
  <definedNames>
    <definedName name="_xlnm._FilterDatabase" localSheetId="0" hidden="1">'Tous les contacts-exportation'!$AQ$1:$AQ$232</definedName>
  </definedNames>
  <calcPr calcId="191029"/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" i="1"/>
  <c r="AQ4" i="1"/>
  <c r="AQ5" i="1"/>
  <c r="AQ6" i="1"/>
  <c r="AQ7" i="1"/>
  <c r="AQ8" i="1"/>
  <c r="AQ9" i="1"/>
  <c r="AQ10" i="1"/>
  <c r="AQ11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5" i="1"/>
  <c r="AQ96" i="1"/>
  <c r="AQ97" i="1"/>
  <c r="AQ98" i="1"/>
  <c r="AQ99" i="1"/>
  <c r="AQ100" i="1"/>
  <c r="AQ101" i="1"/>
  <c r="AQ102" i="1"/>
  <c r="AQ103" i="1"/>
  <c r="AQ105" i="1"/>
  <c r="AQ106" i="1"/>
  <c r="AQ107" i="1"/>
  <c r="AQ108" i="1"/>
  <c r="AQ109" i="1"/>
  <c r="AQ110" i="1"/>
  <c r="AQ111" i="1"/>
  <c r="AQ112" i="1"/>
  <c r="AQ113" i="1"/>
  <c r="AQ114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4" i="1"/>
  <c r="AQ156" i="1"/>
  <c r="AQ157" i="1"/>
  <c r="AQ158" i="1"/>
  <c r="AQ159" i="1"/>
  <c r="AQ160" i="1"/>
  <c r="AQ162" i="1"/>
  <c r="AQ163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6" i="1"/>
  <c r="AQ217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" i="1"/>
</calcChain>
</file>

<file path=xl/sharedStrings.xml><?xml version="1.0" encoding="utf-8"?>
<sst xmlns="http://schemas.openxmlformats.org/spreadsheetml/2006/main" count="6429" uniqueCount="1368">
  <si>
    <t>Adresse e-mail</t>
  </si>
  <si>
    <t>Nom de la boutique</t>
  </si>
  <si>
    <t>Type de magasin</t>
  </si>
  <si>
    <t>Nom du contact</t>
  </si>
  <si>
    <t>Montant de la commande</t>
  </si>
  <si>
    <t>Nombre de commandes</t>
  </si>
  <si>
    <t>Montant du panier</t>
  </si>
  <si>
    <t>DerniÃ¨re modification du panier</t>
  </si>
  <si>
    <t>DerniÃ¨re commande</t>
  </si>
  <si>
    <t>Date de la premiÃ¨re commande</t>
  </si>
  <si>
    <t>First Order Delivered At</t>
  </si>
  <si>
    <t>Sur Faire</t>
  </si>
  <si>
    <t>Dernier e-mail ouvert le</t>
  </si>
  <si>
    <t>Inscription le</t>
  </si>
  <si>
    <t>Date d'ajout</t>
  </si>
  <si>
    <t>CrÃ©dit FaireÂ Direct</t>
  </si>
  <si>
    <t>Le crÃ©dit Faire Direct expire le</t>
  </si>
  <si>
    <t>CrÃ©dit Faire Direct prolongÃ© au</t>
  </si>
  <si>
    <t>La livraison gratuite est valable jusqu'au</t>
  </si>
  <si>
    <t>Statut de la livraison gratuite</t>
  </si>
  <si>
    <t>Statut Insider</t>
  </si>
  <si>
    <t>Invitation envoyÃ©e le</t>
  </si>
  <si>
    <t>Source</t>
  </si>
  <si>
    <t>DerniÃ¨re commande livrÃ©e</t>
  </si>
  <si>
    <t>Type de minimum de commande</t>
  </si>
  <si>
    <t>Dernier contact</t>
  </si>
  <si>
    <t>Relation</t>
  </si>
  <si>
    <t>Statut du parrainage Faire Direct</t>
  </si>
  <si>
    <t>Commission</t>
  </si>
  <si>
    <t>Type de client</t>
  </si>
  <si>
    <t>AdresseÂ 1</t>
  </si>
  <si>
    <t>AdresseÂ 2</t>
  </si>
  <si>
    <t>Ville</t>
  </si>
  <si>
    <t>Ã‰tat</t>
  </si>
  <si>
    <t>Code postal</t>
  </si>
  <si>
    <t>Pays</t>
  </si>
  <si>
    <t>Langue</t>
  </si>
  <si>
    <t>Statut des envois d'e-mails</t>
  </si>
  <si>
    <t>Avis envoyÃ©</t>
  </si>
  <si>
    <t>ActivitÃ© Faire</t>
  </si>
  <si>
    <t>AdmissibilitÃ© Ã  l'offre</t>
  </si>
  <si>
    <t>Tags personnalisÃ©s</t>
  </si>
  <si>
    <t>180 degree store</t>
  </si>
  <si>
    <t>Magasin de souvenirs</t>
  </si>
  <si>
    <t>Arlene Starr</t>
  </si>
  <si>
    <t>382,20Â â‚¬</t>
  </si>
  <si>
    <t>0,00Â â‚¬</t>
  </si>
  <si>
    <t>NA</t>
  </si>
  <si>
    <t>vrai</t>
  </si>
  <si>
    <t>0,00Â $US</t>
  </si>
  <si>
    <t>Plateforme</t>
  </si>
  <si>
    <t>Commande rÃ©pÃ©tÃ©e</t>
  </si>
  <si>
    <t>Non qualifiÃ©</t>
  </si>
  <si>
    <t>Client</t>
  </si>
  <si>
    <t>1122 balvaird dr</t>
  </si>
  <si>
    <t>Lawrenceville</t>
  </si>
  <si>
    <t>GA</t>
  </si>
  <si>
    <t>Ã‰tats-Unis</t>
  </si>
  <si>
    <t>anglais</t>
  </si>
  <si>
    <t>Actif</t>
  </si>
  <si>
    <t>Non</t>
  </si>
  <si>
    <t>A dÃ©jÃ  commandÃ©</t>
  </si>
  <si>
    <t>Non admissible</t>
  </si>
  <si>
    <t>4ECO  VAL DO LOURIÃ‘A C.B.</t>
  </si>
  <si>
    <t>Magasin inconnu</t>
  </si>
  <si>
    <t>MarÃ­a JosÃ© Grilo Casal</t>
  </si>
  <si>
    <t>333,90Â â‚¬</t>
  </si>
  <si>
    <t>Livraison gratuiteÂ : Insider</t>
  </si>
  <si>
    <t>Avantages Insider dÃ¨s 150Â â‚¬</t>
  </si>
  <si>
    <t>15 RÃºa O Pinar</t>
  </si>
  <si>
    <t>O PorriÃ±o</t>
  </si>
  <si>
    <t>Espagne</t>
  </si>
  <si>
    <t>espagnol</t>
  </si>
  <si>
    <t>N'a jamais commandÃ©</t>
  </si>
  <si>
    <t>AAA Pharmacy and Medical Supply INC</t>
  </si>
  <si>
    <t>Magasin gÃ©nÃ©ral ou Ã©picerie</t>
  </si>
  <si>
    <t>Shalum Nasimov</t>
  </si>
  <si>
    <t>348,68Â â‚¬</t>
  </si>
  <si>
    <t>15,48Â â‚¬</t>
  </si>
  <si>
    <t>1926 Kings Highway</t>
  </si>
  <si>
    <t>Brooklyn</t>
  </si>
  <si>
    <t>NY</t>
  </si>
  <si>
    <t>COPIHUE</t>
  </si>
  <si>
    <t>Antonella Berdeil</t>
  </si>
  <si>
    <t>689,22Â â‚¬</t>
  </si>
  <si>
    <t>1 avenue Aristide Briand</t>
  </si>
  <si>
    <t>Sarlat la CanÃ©da</t>
  </si>
  <si>
    <t>France</t>
  </si>
  <si>
    <t>franÃ§ais</t>
  </si>
  <si>
    <t>Bottega In Bio Acaja</t>
  </si>
  <si>
    <t>Magasin d'alimentation ou d'alcool</t>
  </si>
  <si>
    <t>Lio acaja@bottegainbio.it</t>
  </si>
  <si>
    <t>303,06Â â‚¬</t>
  </si>
  <si>
    <t>Avantages Insider dÃ¨s 300Â â‚¬</t>
  </si>
  <si>
    <t>51 Via Principi d'Acaja</t>
  </si>
  <si>
    <t>Torino</t>
  </si>
  <si>
    <t>Italie</t>
  </si>
  <si>
    <t>italien</t>
  </si>
  <si>
    <t>Oui</t>
  </si>
  <si>
    <t>BeeOrganic AS</t>
  </si>
  <si>
    <t>17â€¯036,76Â â‚¬</t>
  </si>
  <si>
    <t>0,00Â NOK</t>
  </si>
  <si>
    <t>Rigedalen 41</t>
  </si>
  <si>
    <t>Kristiansand</t>
  </si>
  <si>
    <t>NorvÃ¨ge</t>
  </si>
  <si>
    <t>La Ferme Aux Fruits</t>
  </si>
  <si>
    <t>Adele Benedetti</t>
  </si>
  <si>
    <t>381,76Â â‚¬</t>
  </si>
  <si>
    <t>D911</t>
  </si>
  <si>
    <t>Le Temple-sur-Lot</t>
  </si>
  <si>
    <t>afleursdepeau.n@gmail.com</t>
  </si>
  <si>
    <t>A fleurs de peau</t>
  </si>
  <si>
    <t>Spa ou institut de beautÃ©</t>
  </si>
  <si>
    <t>NadÃ¨ge Escapoulade</t>
  </si>
  <si>
    <t>1â€¯007,80Â â‚¬</t>
  </si>
  <si>
    <t>116,12Â â‚¬</t>
  </si>
  <si>
    <t>Widget Faire Direct</t>
  </si>
  <si>
    <t>Faire Direct</t>
  </si>
  <si>
    <t>20 Rue du Fort</t>
  </si>
  <si>
    <t>VergÃ¨ze</t>
  </si>
  <si>
    <t>SARL ALYEHOUSE</t>
  </si>
  <si>
    <t>SARL ALYEHOUSE Samson</t>
  </si>
  <si>
    <t>617,06Â â‚¬</t>
  </si>
  <si>
    <t>5 rue de l'enclos des rosiers</t>
  </si>
  <si>
    <t>bis</t>
  </si>
  <si>
    <t>prouzel</t>
  </si>
  <si>
    <t>Am beauty</t>
  </si>
  <si>
    <t>AmÃ©lie Drouet</t>
  </si>
  <si>
    <t>150,48Â â‚¬</t>
  </si>
  <si>
    <t>16 Rue des Hirondelles</t>
  </si>
  <si>
    <t>Conlie</t>
  </si>
  <si>
    <t>A'Naturel</t>
  </si>
  <si>
    <t>AnaÃ¯s DOUCET</t>
  </si>
  <si>
    <t>283,14Â â‚¬</t>
  </si>
  <si>
    <t>93,54Â â‚¬</t>
  </si>
  <si>
    <t>27 Rue de la PoussiniÃ¨re</t>
  </si>
  <si>
    <t>Bazoches-les-Gallerandes</t>
  </si>
  <si>
    <t>Rejet permanent</t>
  </si>
  <si>
    <t>La clef en soi</t>
  </si>
  <si>
    <t>AnaÃ¯s Gimeno</t>
  </si>
  <si>
    <t>290,40Â â‚¬</t>
  </si>
  <si>
    <t>124 Avenue Gambetta</t>
  </si>
  <si>
    <t>Albi</t>
  </si>
  <si>
    <t>Le jardin dâ€™Angie</t>
  </si>
  <si>
    <t>AngÃ©lique Govin</t>
  </si>
  <si>
    <t>536,76Â â‚¬</t>
  </si>
  <si>
    <t>344 rue de Montot</t>
  </si>
  <si>
    <t>Vaudebarrier</t>
  </si>
  <si>
    <t>Lounatine</t>
  </si>
  <si>
    <t>AngÃ©lique Desert</t>
  </si>
  <si>
    <t>230,34Â â‚¬</t>
  </si>
  <si>
    <t>cours jean jaures</t>
  </si>
  <si>
    <t>SÃ©nas</t>
  </si>
  <si>
    <t>L'Atelier DÃ©tente d'Annabelle</t>
  </si>
  <si>
    <t>Annabelle Muller</t>
  </si>
  <si>
    <t>316,92Â â‚¬</t>
  </si>
  <si>
    <t>211,20Â â‚¬</t>
  </si>
  <si>
    <t>341 Avenue du Moulin Neuf</t>
  </si>
  <si>
    <t>Manosque</t>
  </si>
  <si>
    <t>Biofagnes</t>
  </si>
  <si>
    <t>anne frere</t>
  </si>
  <si>
    <t>3â€¯043,52Â â‚¬</t>
  </si>
  <si>
    <t>Rue de la paix nÂ°1</t>
  </si>
  <si>
    <t>blegny</t>
  </si>
  <si>
    <t>Belgique</t>
  </si>
  <si>
    <t>Apee Free</t>
  </si>
  <si>
    <t>AURORE PRIEUR</t>
  </si>
  <si>
    <t>348,66Â â‚¬</t>
  </si>
  <si>
    <t>6 Rue de ChÃ¢tillon</t>
  </si>
  <si>
    <t>Ã‰cole-Valentin</t>
  </si>
  <si>
    <t>Pigments H</t>
  </si>
  <si>
    <t>Haquima Gunes-Tarzit</t>
  </si>
  <si>
    <t>158,40Â â‚¬</t>
  </si>
  <si>
    <t>3 A Rue LÃ©on Contejean</t>
  </si>
  <si>
    <t>Bethoncourt</t>
  </si>
  <si>
    <t>Make up &amp; Bio Atelier</t>
  </si>
  <si>
    <t>Anna Chiara Condorelli</t>
  </si>
  <si>
    <t>501,92Â â‚¬</t>
  </si>
  <si>
    <t>12 Via Luigi Capuana</t>
  </si>
  <si>
    <t>Scordia</t>
  </si>
  <si>
    <t>ArÃ´mes de bain</t>
  </si>
  <si>
    <t>Natacha Lacave</t>
  </si>
  <si>
    <t>692,22Â â‚¬</t>
  </si>
  <si>
    <t>93,36Â â‚¬</t>
  </si>
  <si>
    <t>6 rue des sycomores</t>
  </si>
  <si>
    <t>Treuzy-levelay</t>
  </si>
  <si>
    <t>Oncogest</t>
  </si>
  <si>
    <t xml:space="preserve">Rachelle  Ciavarella </t>
  </si>
  <si>
    <t>295,44Â â‚¬</t>
  </si>
  <si>
    <t>Rue de Jeanne d'Arc</t>
  </si>
  <si>
    <t>Gavisse</t>
  </si>
  <si>
    <t>Au Bonheur des Dames L'Institut</t>
  </si>
  <si>
    <t>nathalie gouzon</t>
  </si>
  <si>
    <t>830,64Â â‚¬</t>
  </si>
  <si>
    <t>300,00Â â‚¬</t>
  </si>
  <si>
    <t>18 rue du 8 mai 1945</t>
  </si>
  <si>
    <t>Nieul</t>
  </si>
  <si>
    <t>Au Petit Bonheur</t>
  </si>
  <si>
    <t>Magasin de dÃ©coration intÃ©rieure</t>
  </si>
  <si>
    <t>RÃ©jane Fradin</t>
  </si>
  <si>
    <t>196,00Â â‚¬</t>
  </si>
  <si>
    <t>19 bis rue Pierre Semard</t>
  </si>
  <si>
    <t>Saint Germain des FossÃ©s</t>
  </si>
  <si>
    <t>Aux Mains de Coco</t>
  </si>
  <si>
    <t>Coralie Hamon</t>
  </si>
  <si>
    <t>414,24Â â‚¬</t>
  </si>
  <si>
    <t>16 Place Claude Debussy</t>
  </si>
  <si>
    <t>Ifs</t>
  </si>
  <si>
    <t>Karma &amp; mente</t>
  </si>
  <si>
    <t xml:space="preserve">Maura Avetta </t>
  </si>
  <si>
    <t>158,70Â â‚¬</t>
  </si>
  <si>
    <t>Piazza Cavour 15</t>
  </si>
  <si>
    <t xml:space="preserve">Cigliano </t>
  </si>
  <si>
    <t>Beauty'Flow</t>
  </si>
  <si>
    <t>Florence Leprince longuemart</t>
  </si>
  <si>
    <t>172,86Â â‚¬</t>
  </si>
  <si>
    <t>Rue Charles Hombert</t>
  </si>
  <si>
    <t>Lewarde</t>
  </si>
  <si>
    <t>Beautyâ€™full</t>
  </si>
  <si>
    <t xml:space="preserve">Cynthia COIFFARD </t>
  </si>
  <si>
    <t>260,16Â â‚¬</t>
  </si>
  <si>
    <t>137 Rue de la Marne</t>
  </si>
  <si>
    <t>Libourne</t>
  </si>
  <si>
    <t>Beautysalon Skoon</t>
  </si>
  <si>
    <t xml:space="preserve">Sam Dijksma - Wijbenga </t>
  </si>
  <si>
    <t>344,50Â â‚¬</t>
  </si>
  <si>
    <t>127 De Hooidollen</t>
  </si>
  <si>
    <t>Leeuwarden</t>
  </si>
  <si>
    <t>8918 JA</t>
  </si>
  <si>
    <t>Pays-Bas</t>
  </si>
  <si>
    <t>nÃ©erlandais</t>
  </si>
  <si>
    <t>The sisters</t>
  </si>
  <si>
    <t>Asma Bendjeddou</t>
  </si>
  <si>
    <t>108,36Â â‚¬</t>
  </si>
  <si>
    <t>Via Tommaso Inghirami</t>
  </si>
  <si>
    <t>Roma</t>
  </si>
  <si>
    <t>bienetreaunaturel@hotmail.com</t>
  </si>
  <si>
    <t>Bien-Ãªtre au nature'L</t>
  </si>
  <si>
    <t>Lucie COLSON</t>
  </si>
  <si>
    <t>402,23Â â‚¬</t>
  </si>
  <si>
    <t>Lien Faire Direct</t>
  </si>
  <si>
    <t>39B Boulevard de Scarpone</t>
  </si>
  <si>
    <t>BÃ¢t A</t>
  </si>
  <si>
    <t>Nancy</t>
  </si>
  <si>
    <t>Kiccabio di Pelizzi Federica</t>
  </si>
  <si>
    <t>Federica Pelizzi</t>
  </si>
  <si>
    <t>910,54Â â‚¬</t>
  </si>
  <si>
    <t>40 Via Felice Geromini</t>
  </si>
  <si>
    <t>Cremona</t>
  </si>
  <si>
    <t>bouillauxelodie@hotmail.com</t>
  </si>
  <si>
    <t>Bulle bien Ãªtre</t>
  </si>
  <si>
    <t>Elodie Bouillaux</t>
  </si>
  <si>
    <t>336,12Â â‚¬</t>
  </si>
  <si>
    <t>87,30Â â‚¬</t>
  </si>
  <si>
    <t>88 Rue Edmonde Charles-Roux</t>
  </si>
  <si>
    <t>Hermanville-sur-Mer</t>
  </si>
  <si>
    <t>IBB Institut Beauty Bio</t>
  </si>
  <si>
    <t>Ã‰lodie Bouquerel</t>
  </si>
  <si>
    <t>151,92Â â‚¬</t>
  </si>
  <si>
    <t>42 Chemin Levassor</t>
  </si>
  <si>
    <t>Mandelieu-la-Napoule</t>
  </si>
  <si>
    <t>Les Fees Meres - Boutique Galerie Marchande E.Leclerc</t>
  </si>
  <si>
    <t>Cynthia Weber</t>
  </si>
  <si>
    <t>1â€¯517,80Â â‚¬</t>
  </si>
  <si>
    <t>61 Rue Claude Barres</t>
  </si>
  <si>
    <t>Charmes</t>
  </si>
  <si>
    <t>Bright Pharmacy &amp; Medical Supply INC</t>
  </si>
  <si>
    <t>CafÃ© ou restaurant</t>
  </si>
  <si>
    <t>Paul Pesahov</t>
  </si>
  <si>
    <t>1â€¯467,36Â â‚¬</t>
  </si>
  <si>
    <t>606,54Â â‚¬</t>
  </si>
  <si>
    <t xml:space="preserve">227 Brighton Beach Ave </t>
  </si>
  <si>
    <t xml:space="preserve">Brooklyn </t>
  </si>
  <si>
    <t>Bulle de bÃ©bÃ© bio</t>
  </si>
  <si>
    <t>Magasin de jouets ou pour les enfants</t>
  </si>
  <si>
    <t>Laurence Mariani</t>
  </si>
  <si>
    <t>417,57Â â‚¬</t>
  </si>
  <si>
    <t>295 AllÃ©e des Cigales</t>
  </si>
  <si>
    <t>St Laurent du var</t>
  </si>
  <si>
    <t>Siam les bienfaits du massage thaÃ¯</t>
  </si>
  <si>
    <t>Somrudee Guerin</t>
  </si>
  <si>
    <t>155,53Â â‚¬</t>
  </si>
  <si>
    <t>18 Rue de Louviers</t>
  </si>
  <si>
    <t>Incarville</t>
  </si>
  <si>
    <t>CAPSULE</t>
  </si>
  <si>
    <t>Boutique de vÃªtements</t>
  </si>
  <si>
    <t>ValÃ©rie Raskin</t>
  </si>
  <si>
    <t>775,02Â â‚¬</t>
  </si>
  <si>
    <t>17 Place Henri IV</t>
  </si>
  <si>
    <t>Argentan</t>
  </si>
  <si>
    <t>The island soaps</t>
  </si>
  <si>
    <t>catherine mano</t>
  </si>
  <si>
    <t>693,48Â â‚¬</t>
  </si>
  <si>
    <t>5 Rue du Puits aux Braies</t>
  </si>
  <si>
    <t>Saint-Malo</t>
  </si>
  <si>
    <t>ZC CREATIONS</t>
  </si>
  <si>
    <t>Celia Pedoussaut</t>
  </si>
  <si>
    <t>629,76Â â‚¬</t>
  </si>
  <si>
    <t>38 Rue Garibaldi</t>
  </si>
  <si>
    <t>Saint-Maur-des-FossÃ©s</t>
  </si>
  <si>
    <t>Institut de beautÃ© de lâ€™Escale</t>
  </si>
  <si>
    <t>CÃ©line LARRAT</t>
  </si>
  <si>
    <t>246,44Â â‚¬</t>
  </si>
  <si>
    <t>2 K Impasse de l'Escale</t>
  </si>
  <si>
    <t>Saint-Privat-des-Vieux</t>
  </si>
  <si>
    <t>Chouette moment</t>
  </si>
  <si>
    <t>Debo  De faria</t>
  </si>
  <si>
    <t>327,94Â â‚¬</t>
  </si>
  <si>
    <t>259,20Â â‚¬</t>
  </si>
  <si>
    <t>Non inscrit</t>
  </si>
  <si>
    <t>38 Rue de Mons</t>
  </si>
  <si>
    <t>Braine-le-Comte</t>
  </si>
  <si>
    <t>L'Ã®le de la beautÃ©</t>
  </si>
  <si>
    <t>Amandine Christian</t>
  </si>
  <si>
    <t>592,22Â â‚¬</t>
  </si>
  <si>
    <t>190 Avenue de Cazouls</t>
  </si>
  <si>
    <t>Maraussan</t>
  </si>
  <si>
    <t>Eleganciabijou</t>
  </si>
  <si>
    <t>cindy Ferreira</t>
  </si>
  <si>
    <t>131,58Â â‚¬</t>
  </si>
  <si>
    <t>346,74Â â‚¬</t>
  </si>
  <si>
    <t>2 Rue de la ChÃ¢taigneraie</t>
  </si>
  <si>
    <t>Ballan-MirÃ©</t>
  </si>
  <si>
    <t>NamastÃ©</t>
  </si>
  <si>
    <t>Claire FrÃ©my</t>
  </si>
  <si>
    <t>760,08Â â‚¬</t>
  </si>
  <si>
    <t>24 Rue nationale</t>
  </si>
  <si>
    <t>Marquise</t>
  </si>
  <si>
    <t>Cocoon &amp; moi</t>
  </si>
  <si>
    <t>Oceane Klunder</t>
  </si>
  <si>
    <t>114,24Â â‚¬</t>
  </si>
  <si>
    <t>65 Rue des DÃ©portÃ©s</t>
  </si>
  <si>
    <t>Saint-Georges-du-ViÃ¨vre</t>
  </si>
  <si>
    <t>Sephrobien</t>
  </si>
  <si>
    <t>hanocq-leclercq sÃ©verine</t>
  </si>
  <si>
    <t>208,32Â â‚¬</t>
  </si>
  <si>
    <t>56 Quai de la RÃ©publique</t>
  </si>
  <si>
    <t>Saint-Gilles-Croix-de-Vie</t>
  </si>
  <si>
    <t>Company by beauty</t>
  </si>
  <si>
    <t>Christiane Gobert</t>
  </si>
  <si>
    <t>166,08Â â‚¬</t>
  </si>
  <si>
    <t>536 Chemin de la Peladere</t>
  </si>
  <si>
    <t>Launac</t>
  </si>
  <si>
    <t>Concept Beauty</t>
  </si>
  <si>
    <t>Claire PIEDFERTS</t>
  </si>
  <si>
    <t>351,12Â â‚¬</t>
  </si>
  <si>
    <t>69 Rue de la RÃ©publique</t>
  </si>
  <si>
    <t>Saint-Jean-de-Bournay</t>
  </si>
  <si>
    <t>L'emporium</t>
  </si>
  <si>
    <t>Marie SAFER</t>
  </si>
  <si>
    <t>210,82Â â‚¬</t>
  </si>
  <si>
    <t>57 Avenue du PrÃ©sident Roosevelt</t>
  </si>
  <si>
    <t>Saint-Brevin-les-Pins</t>
  </si>
  <si>
    <t>Alguoa CosmÃ©tiques</t>
  </si>
  <si>
    <t>Laurent Dumont</t>
  </si>
  <si>
    <t>403,76Â â‚¬</t>
  </si>
  <si>
    <t>5 Rue Francis Pouzol</t>
  </si>
  <si>
    <t>Villeneuve-les-Avignon</t>
  </si>
  <si>
    <t>Basiks</t>
  </si>
  <si>
    <t>Rodney Smadja</t>
  </si>
  <si>
    <t>462,00Â â‚¬</t>
  </si>
  <si>
    <t>387 Vieux Chemin du Retenaou</t>
  </si>
  <si>
    <t>Vallauris</t>
  </si>
  <si>
    <t>COR ET AMOUR COSMETIQUE /Solen Angels</t>
  </si>
  <si>
    <t>DORIS LAMOUR</t>
  </si>
  <si>
    <t>162,84Â â‚¬</t>
  </si>
  <si>
    <t>668,28Â â‚¬</t>
  </si>
  <si>
    <t>3 Rue Yves du Manoir</t>
  </si>
  <si>
    <t>18520 AVORD</t>
  </si>
  <si>
    <t>Doux Sommeil</t>
  </si>
  <si>
    <t>Layane Bennour</t>
  </si>
  <si>
    <t>418,00Â â‚¬</t>
  </si>
  <si>
    <t>18 Rue de Bezons</t>
  </si>
  <si>
    <t>COURBEVOIE</t>
  </si>
  <si>
    <t>Foliae</t>
  </si>
  <si>
    <t>Ariane GOLAN</t>
  </si>
  <si>
    <t>1â€¯554,86Â â‚¬</t>
  </si>
  <si>
    <t>191,52Â â‚¬</t>
  </si>
  <si>
    <t>21 Rue Gambetta</t>
  </si>
  <si>
    <t>Poitiers</t>
  </si>
  <si>
    <t>HERBORISTERIE Bardouâ„¢</t>
  </si>
  <si>
    <t>HERBORISTERIE Bardou</t>
  </si>
  <si>
    <t>155,10Â â‚¬</t>
  </si>
  <si>
    <t>13 Boulevard Jean Charcot</t>
  </si>
  <si>
    <t>Aix-les-Bains</t>
  </si>
  <si>
    <t>contact@laurybeaute.fr</t>
  </si>
  <si>
    <t>Laury BeautÃ©</t>
  </si>
  <si>
    <t>laurence regillo mugnier</t>
  </si>
  <si>
    <t>258,96Â â‚¬</t>
  </si>
  <si>
    <t>1290 Route de Clermont</t>
  </si>
  <si>
    <t>Sillingy</t>
  </si>
  <si>
    <t>contact@maelibox.fr</t>
  </si>
  <si>
    <t>Maeli Box</t>
  </si>
  <si>
    <t>ELIZABETH FIGARD</t>
  </si>
  <si>
    <t>266,22Â â‚¬</t>
  </si>
  <si>
    <t>192 Impasse Jean Jacques Rousseau</t>
  </si>
  <si>
    <t>GAGEAC ET ROUILLAC</t>
  </si>
  <si>
    <t>Ma petite Box surprise</t>
  </si>
  <si>
    <t>Caroline LemÃ©nager</t>
  </si>
  <si>
    <t>240,28Â â‚¬</t>
  </si>
  <si>
    <t>685 rue Jules VÃ©drines</t>
  </si>
  <si>
    <t>SLAB CONSTRUCTION / LEMENAGER</t>
  </si>
  <si>
    <t>Bretteville sur Odon</t>
  </si>
  <si>
    <t>Serenity Box</t>
  </si>
  <si>
    <t>LÃ©na Tailly</t>
  </si>
  <si>
    <t>342,60Â â‚¬</t>
  </si>
  <si>
    <t>22 Rue du Port</t>
  </si>
  <si>
    <t>appartement 6, deuxiÃ¨me Ã©tage</t>
  </si>
  <si>
    <t>Ã‰vian-les-Bains</t>
  </si>
  <si>
    <t>RÃ©flex'Naturel</t>
  </si>
  <si>
    <t>Laetitia Coutif</t>
  </si>
  <si>
    <t>49 Boulevard du GÃ©nÃ©ral Graziani</t>
  </si>
  <si>
    <t>Bastia</t>
  </si>
  <si>
    <t>Sereinemans</t>
  </si>
  <si>
    <t>Gregory Crabbe</t>
  </si>
  <si>
    <t>159,60Â â‚¬</t>
  </si>
  <si>
    <t>976 La GandoliÃ¨re</t>
  </si>
  <si>
    <t>Ã‰commoy</t>
  </si>
  <si>
    <t>GentleMax</t>
  </si>
  <si>
    <t>Dean Breemen</t>
  </si>
  <si>
    <t>173,58Â â‚¬</t>
  </si>
  <si>
    <t>81 Hovenstraat</t>
  </si>
  <si>
    <t>Landgraaf</t>
  </si>
  <si>
    <t>6374 HB</t>
  </si>
  <si>
    <t>Cristybell's</t>
  </si>
  <si>
    <t>Cristiana Fernandes</t>
  </si>
  <si>
    <t>307,98Â â‚¬</t>
  </si>
  <si>
    <t>Travessa Da Capela, NÂ°70   A</t>
  </si>
  <si>
    <t>Arcos</t>
  </si>
  <si>
    <t>4480-041</t>
  </si>
  <si>
    <t>Portugal</t>
  </si>
  <si>
    <t>Le Coin des Coquettes</t>
  </si>
  <si>
    <t>Melissa Cuvillier</t>
  </si>
  <si>
    <t>1â€¯196,26Â â‚¬</t>
  </si>
  <si>
    <t>62,04Â â‚¬</t>
  </si>
  <si>
    <t>13 Grand Rue</t>
  </si>
  <si>
    <t>HÃ©buterne</t>
  </si>
  <si>
    <t>Haworth Wholefoods</t>
  </si>
  <si>
    <t>Digmar Robertson</t>
  </si>
  <si>
    <t>195,54Â â‚¬</t>
  </si>
  <si>
    <t>28,80Â â‚¬</t>
  </si>
  <si>
    <t>0,00Â Â£GB</t>
  </si>
  <si>
    <t>123 Main Street</t>
  </si>
  <si>
    <t>Haworth</t>
  </si>
  <si>
    <t>BD22 8DP</t>
  </si>
  <si>
    <t>Royaume-Uni</t>
  </si>
  <si>
    <t>PRODES</t>
  </si>
  <si>
    <t>Damien MICHEL</t>
  </si>
  <si>
    <t>2â€¯135,10Â â‚¬</t>
  </si>
  <si>
    <t>65 Avenue du PrÃ©sident Wilson</t>
  </si>
  <si>
    <t>Aixe-sur-Vienne</t>
  </si>
  <si>
    <t>GreenClothes / Fast Consulting</t>
  </si>
  <si>
    <t>David Baudet</t>
  </si>
  <si>
    <t>3â€¯352,38Â â‚¬</t>
  </si>
  <si>
    <t>Avenue du Modelage 31</t>
  </si>
  <si>
    <t>Court saint etienne</t>
  </si>
  <si>
    <t>Bioprofumeria Green Beauty Grosseto</t>
  </si>
  <si>
    <t>debora gonnelli</t>
  </si>
  <si>
    <t>400,82Â â‚¬</t>
  </si>
  <si>
    <t>49a Via Guglielmo Oberdan</t>
  </si>
  <si>
    <t>Grosseto</t>
  </si>
  <si>
    <t>Bulle et Zen</t>
  </si>
  <si>
    <t>Delphine Moreaux</t>
  </si>
  <si>
    <t>191,26Â â‚¬</t>
  </si>
  <si>
    <t>16 Route de Boutervilliers</t>
  </si>
  <si>
    <t>Chalo-Saint-Mars</t>
  </si>
  <si>
    <t>Sparkleyou</t>
  </si>
  <si>
    <t>Denise Bout</t>
  </si>
  <si>
    <t>199,16Â â‚¬</t>
  </si>
  <si>
    <t>25 Lou Costellostraat</t>
  </si>
  <si>
    <t>Almere</t>
  </si>
  <si>
    <t>1325 CL</t>
  </si>
  <si>
    <t>Profumeria Lyss di Dal Mas Donatella &amp; C. Sas</t>
  </si>
  <si>
    <t>Donatella  Dal mas</t>
  </si>
  <si>
    <t>140,40Â â‚¬</t>
  </si>
  <si>
    <t>87 Via Verri</t>
  </si>
  <si>
    <t>Mareno di Piave</t>
  </si>
  <si>
    <t>Bioprofumeria elefante bianco</t>
  </si>
  <si>
    <t>Sabrina Massimi</t>
  </si>
  <si>
    <t>155,52Â â‚¬</t>
  </si>
  <si>
    <t>Avantages Insider dÃ¨s 200Â â‚¬</t>
  </si>
  <si>
    <t>223 Via Olevano Romano</t>
  </si>
  <si>
    <t>elodie.tellier@outlook.com</t>
  </si>
  <si>
    <t>Glow by Elo</t>
  </si>
  <si>
    <t>elodie tellier</t>
  </si>
  <si>
    <t>157,14Â â‚¬</t>
  </si>
  <si>
    <t>288,00Â â‚¬</t>
  </si>
  <si>
    <t>Livraison gratuiteÂ : FaireÂ Direct</t>
  </si>
  <si>
    <t>Prospect</t>
  </si>
  <si>
    <t>25 Rue Faidherbe</t>
  </si>
  <si>
    <t>Saint-Pol-sur-Ternoise</t>
  </si>
  <si>
    <t>Emy beauty Room</t>
  </si>
  <si>
    <t>Emilie Villette</t>
  </si>
  <si>
    <t>176,52Â â‚¬</t>
  </si>
  <si>
    <t>1 Boulevard Brune</t>
  </si>
  <si>
    <t>Marseille</t>
  </si>
  <si>
    <t>EVENA</t>
  </si>
  <si>
    <t>Erika Leoni</t>
  </si>
  <si>
    <t>219,48Â â‚¬</t>
  </si>
  <si>
    <t>53 Impasse de Lâ€™Oulivado</t>
  </si>
  <si>
    <t>Saint-Paul-en-ForÃªt</t>
  </si>
  <si>
    <t>Eros</t>
  </si>
  <si>
    <t>Anna Voellinger</t>
  </si>
  <si>
    <t>379,78Â â‚¬</t>
  </si>
  <si>
    <t>Avenue Marguerite Puhl DÃ©mange</t>
  </si>
  <si>
    <t>BRIEY</t>
  </si>
  <si>
    <t>Ã‰tincelles d'Argent</t>
  </si>
  <si>
    <t xml:space="preserve">SolÃ¨ne  Descure </t>
  </si>
  <si>
    <t>744,06Â â‚¬</t>
  </si>
  <si>
    <t>31 Rue de l'HÃ´tel de ville</t>
  </si>
  <si>
    <t>Pontoise</t>
  </si>
  <si>
    <t>DÃ©sabonnÃ©</t>
  </si>
  <si>
    <t xml:space="preserve">Fifi's World Keur de femme </t>
  </si>
  <si>
    <t>fama Seck</t>
  </si>
  <si>
    <t>154,28Â â‚¬</t>
  </si>
  <si>
    <t>70 Avenue Claude Monet</t>
  </si>
  <si>
    <t xml:space="preserve">Bat B SECK/MERMET </t>
  </si>
  <si>
    <t>Les savons de Farinette</t>
  </si>
  <si>
    <t>Fanny Prades</t>
  </si>
  <si>
    <t>798,00Â â‚¬</t>
  </si>
  <si>
    <t>Avenue de la MÃ©diterranÃ©e</t>
  </si>
  <si>
    <t>Vias</t>
  </si>
  <si>
    <t>43,20Â â‚¬</t>
  </si>
  <si>
    <t>Institut belle et re-belle</t>
  </si>
  <si>
    <t>Florie-anne Yenes</t>
  </si>
  <si>
    <t>150,30Â â‚¬</t>
  </si>
  <si>
    <t>127 Rue du Neubourg</t>
  </si>
  <si>
    <t>Grand Bourgtheroulde</t>
  </si>
  <si>
    <t>La petite boutique de Flo</t>
  </si>
  <si>
    <t>Florine Diana</t>
  </si>
  <si>
    <t>303,42Â â‚¬</t>
  </si>
  <si>
    <t>55 Rue du Grand Manoir</t>
  </si>
  <si>
    <t>Thun-Saint-Amand</t>
  </si>
  <si>
    <t>156,80Â â‚¬</t>
  </si>
  <si>
    <t>Non applicable</t>
  </si>
  <si>
    <t>Fruitsetcosmetiques</t>
  </si>
  <si>
    <t>Florence Brice</t>
  </si>
  <si>
    <t>197,10Â â‚¬</t>
  </si>
  <si>
    <t>47 Grande Rue</t>
  </si>
  <si>
    <t>Arpajon</t>
  </si>
  <si>
    <t>Mundekulla</t>
  </si>
  <si>
    <t>Galina Maloshenko</t>
  </si>
  <si>
    <t>150,66Â â‚¬</t>
  </si>
  <si>
    <t>0,00Â SEK</t>
  </si>
  <si>
    <t>Mundekulla 101</t>
  </si>
  <si>
    <t>LÃ¥ngasjÃ¶</t>
  </si>
  <si>
    <t>361 95</t>
  </si>
  <si>
    <t>SuÃ¨de</t>
  </si>
  <si>
    <t>Glam &amp; Beauty</t>
  </si>
  <si>
    <t>Zuhal Sarigol</t>
  </si>
  <si>
    <t>166,02Â â‚¬</t>
  </si>
  <si>
    <t>50 Faubourg d'OrlÃ©ans</t>
  </si>
  <si>
    <t>Romorantin-Lanthenay</t>
  </si>
  <si>
    <t>Institut de beautÃ© BIO Graine de Folie</t>
  </si>
  <si>
    <t>Pamela loysier</t>
  </si>
  <si>
    <t>453,66Â â‚¬</t>
  </si>
  <si>
    <t>46 Rue AndrÃ© Mancey</t>
  </si>
  <si>
    <t>Calonne-Ricouart</t>
  </si>
  <si>
    <t>grandpierrelaetitia27@gmail.com</t>
  </si>
  <si>
    <t>l'Ã®lot KDO</t>
  </si>
  <si>
    <t>Laetitia Grand pierre</t>
  </si>
  <si>
    <t>182,52Â â‚¬</t>
  </si>
  <si>
    <t>152,28Â â‚¬</t>
  </si>
  <si>
    <t>Importation manuelle</t>
  </si>
  <si>
    <t>17 Place Croisollet</t>
  </si>
  <si>
    <t>Rumilly</t>
  </si>
  <si>
    <t>Savonnerie senteurs de provence</t>
  </si>
  <si>
    <t>Hafida Ouchene</t>
  </si>
  <si>
    <t>272,16Â â‚¬</t>
  </si>
  <si>
    <t>26,40Â â‚¬</t>
  </si>
  <si>
    <t>148 Rue de la RÃ©publique</t>
  </si>
  <si>
    <t>La VerpilliÃ¨re</t>
  </si>
  <si>
    <t>Vitalisten Helseshop / Apo Pharm Aps</t>
  </si>
  <si>
    <t>hanne v. petersen</t>
  </si>
  <si>
    <t>0,00Â DKK</t>
  </si>
  <si>
    <t>Avantages Insider dÃ¨s 2â€¯000Â DKK</t>
  </si>
  <si>
    <t>37C RÃ¸dovre Centrum</t>
  </si>
  <si>
    <t>RÃ¸dovre</t>
  </si>
  <si>
    <t>Danemark</t>
  </si>
  <si>
    <t>Eco Luxury Spa Co.</t>
  </si>
  <si>
    <t>Busola Oghumu</t>
  </si>
  <si>
    <t>111,18Â â‚¬</t>
  </si>
  <si>
    <t>1â€¯332,38Â â‚¬</t>
  </si>
  <si>
    <t>0,00Â $CA</t>
  </si>
  <si>
    <t>1043 Ann Street</t>
  </si>
  <si>
    <t>Wroxeter</t>
  </si>
  <si>
    <t>ON</t>
  </si>
  <si>
    <t>N0G 2X0</t>
  </si>
  <si>
    <t>Canada</t>
  </si>
  <si>
    <t>Hygge &amp; Lykke</t>
  </si>
  <si>
    <t>ValÃ©rie Waroquier</t>
  </si>
  <si>
    <t>235,20Â â‚¬</t>
  </si>
  <si>
    <t>Rue du Miroir, 29</t>
  </si>
  <si>
    <t>Mons</t>
  </si>
  <si>
    <t>Iacuboi Lina</t>
  </si>
  <si>
    <t>Lina Iacuboi</t>
  </si>
  <si>
    <t>867,00Â â‚¬</t>
  </si>
  <si>
    <t>28 Boulevard de l'ArmÃ©e des Alpes</t>
  </si>
  <si>
    <t>Nice</t>
  </si>
  <si>
    <t>Happy Barn</t>
  </si>
  <si>
    <t>Kestutis Paliokas</t>
  </si>
  <si>
    <t>441,90Â â‚¬</t>
  </si>
  <si>
    <t>58B Blakstadlia</t>
  </si>
  <si>
    <t>Asker</t>
  </si>
  <si>
    <t>BioSte - Cosmetici e prodotti di bellezza Bio a Napoli</t>
  </si>
  <si>
    <t>Stefania  Scognamiglio</t>
  </si>
  <si>
    <t>232,56Â â‚¬</t>
  </si>
  <si>
    <t>329,76Â â‚¬</t>
  </si>
  <si>
    <t>30 Via GiosuÃ¨ Carducci</t>
  </si>
  <si>
    <t>Napoli</t>
  </si>
  <si>
    <t>Biosoppi</t>
  </si>
  <si>
    <t>Maija Karentila</t>
  </si>
  <si>
    <t>323,52Â â‚¬</t>
  </si>
  <si>
    <t>Avantages Insider dÃ¨s 175Â â‚¬</t>
  </si>
  <si>
    <t>5 Rantakatu</t>
  </si>
  <si>
    <t>JÃ¤rvenpÃ¤Ã¤</t>
  </si>
  <si>
    <t>Finlande</t>
  </si>
  <si>
    <t>Chez PÃ©pÃ© et NÃ¨nÃ¨ne</t>
  </si>
  <si>
    <t>valerie dutilleux</t>
  </si>
  <si>
    <t>174,66Â â‚¬</t>
  </si>
  <si>
    <t>2 Rue de la Motte</t>
  </si>
  <si>
    <t>Soignies</t>
  </si>
  <si>
    <t>sprl pythion</t>
  </si>
  <si>
    <t>Dimitri Karafilakis</t>
  </si>
  <si>
    <t>269,41Â â‚¬</t>
  </si>
  <si>
    <t>155 Rue Josaphat</t>
  </si>
  <si>
    <t>Bruxelles</t>
  </si>
  <si>
    <t>Essere in benessere di Monica Bertolini</t>
  </si>
  <si>
    <t xml:space="preserve">Monica  Bertolini </t>
  </si>
  <si>
    <t>154,08Â â‚¬</t>
  </si>
  <si>
    <t>334f Via dell'Epomeo</t>
  </si>
  <si>
    <t>VecmuiÅ¾as Zieds</t>
  </si>
  <si>
    <t>Anete Puga</t>
  </si>
  <si>
    <t>26A RÄ«gas iela</t>
  </si>
  <si>
    <t>Vecumnieki</t>
  </si>
  <si>
    <t>Lettonie</t>
  </si>
  <si>
    <t>The Goodness Project</t>
  </si>
  <si>
    <t>Anna Szanto</t>
  </si>
  <si>
    <t>621,00Â â‚¬</t>
  </si>
  <si>
    <t>Unit 4, Orbital Industrial Estate,, Horton Road</t>
  </si>
  <si>
    <t>Horton Road</t>
  </si>
  <si>
    <t>LONDON</t>
  </si>
  <si>
    <t>UB7 8JL</t>
  </si>
  <si>
    <t>Ton Bonheur En Vrac SÃ rl</t>
  </si>
  <si>
    <t>Claudia Giorgis</t>
  </si>
  <si>
    <t>147,00Â â‚¬</t>
  </si>
  <si>
    <t>0,00Â CHF</t>
  </si>
  <si>
    <t>2 Chemin de la Roussette</t>
  </si>
  <si>
    <t>Cortaillod</t>
  </si>
  <si>
    <t>Suisse</t>
  </si>
  <si>
    <t>Kahvila Wanha Asema Vuokatti</t>
  </si>
  <si>
    <t>Susanna Halonen</t>
  </si>
  <si>
    <t>412,92Â â‚¬</t>
  </si>
  <si>
    <t>376,86Â â‚¬</t>
  </si>
  <si>
    <t>1 Keskuskuja</t>
  </si>
  <si>
    <t>Vuokatti</t>
  </si>
  <si>
    <t>Bellâ€™O Spa</t>
  </si>
  <si>
    <t>Ophelie Mabilde</t>
  </si>
  <si>
    <t>163,92Â â‚¬</t>
  </si>
  <si>
    <t>20 Rue du Pavillon</t>
  </si>
  <si>
    <t>MauzÃ©-sur-le-Mignon</t>
  </si>
  <si>
    <t>institut ambrya</t>
  </si>
  <si>
    <t>Perrine Bouchard</t>
  </si>
  <si>
    <t>158,52Â â‚¬</t>
  </si>
  <si>
    <t>499,32Â â‚¬</t>
  </si>
  <si>
    <t>24 Rue de Bernay</t>
  </si>
  <si>
    <t>Thiberville</t>
  </si>
  <si>
    <t>Institut de BeautÃ© Atelier BeautÃ© au Natur'L</t>
  </si>
  <si>
    <t>Marylin Savona</t>
  </si>
  <si>
    <t>235,02Â â‚¬</t>
  </si>
  <si>
    <t>1 Rue de la GlaciÃ¨re</t>
  </si>
  <si>
    <t>Saint-Victoret</t>
  </si>
  <si>
    <t>Bulle de RÃªve</t>
  </si>
  <si>
    <t>Jenny Guerin</t>
  </si>
  <si>
    <t>276,66Â â‚¬</t>
  </si>
  <si>
    <t>156 Rue Jean JaurÃ¨s</t>
  </si>
  <si>
    <t>LabeuvriÃ¨re</t>
  </si>
  <si>
    <t>Saradelle Bien-ÃŠtre</t>
  </si>
  <si>
    <t>JENNIFER TOMMASINI</t>
  </si>
  <si>
    <t>367,62Â â‚¬</t>
  </si>
  <si>
    <t>9 RUE DES MALGRES NOUS</t>
  </si>
  <si>
    <t>GUEBWILLER</t>
  </si>
  <si>
    <t>Joris Hazeleger</t>
  </si>
  <si>
    <t>246,48Â â‚¬</t>
  </si>
  <si>
    <t>23 Calle Trinidad Grund</t>
  </si>
  <si>
    <t>MÃ¡laga</t>
  </si>
  <si>
    <t>Enbombe</t>
  </si>
  <si>
    <t>Julie Bigay</t>
  </si>
  <si>
    <t>176,16Â â‚¬</t>
  </si>
  <si>
    <t>4 Rue Charlois Cadet</t>
  </si>
  <si>
    <t>JBDO</t>
  </si>
  <si>
    <t>Jessica Douin</t>
  </si>
  <si>
    <t>324,05Â â‚¬</t>
  </si>
  <si>
    <t>5 Rue du Parc</t>
  </si>
  <si>
    <t>Ans</t>
  </si>
  <si>
    <t>karinejulien16@gmail.com</t>
  </si>
  <si>
    <t>The perfect bubble</t>
  </si>
  <si>
    <t>Karine Prevost</t>
  </si>
  <si>
    <t>258,06Â â‚¬</t>
  </si>
  <si>
    <t>76 Rue de Paris</t>
  </si>
  <si>
    <t>Appartement A4</t>
  </si>
  <si>
    <t>Saint-Martin-Longueau</t>
  </si>
  <si>
    <t>Market Gujan-Mestras</t>
  </si>
  <si>
    <t>Katya Serra</t>
  </si>
  <si>
    <t>715,34Â â‚¬</t>
  </si>
  <si>
    <t>CC CAP OCEAN</t>
  </si>
  <si>
    <t>RUE LAGRUA</t>
  </si>
  <si>
    <t>LA TESTE DE BUCH</t>
  </si>
  <si>
    <t>PachnÄ…ca Kraina</t>
  </si>
  <si>
    <t>Agnieszka Bednarek</t>
  </si>
  <si>
    <t>333,60Â â‚¬</t>
  </si>
  <si>
    <t>24,00Â â‚¬</t>
  </si>
  <si>
    <t>0,00Â PLN</t>
  </si>
  <si>
    <t>Miejska Dabrowa 31</t>
  </si>
  <si>
    <t>GLOWACZOW</t>
  </si>
  <si>
    <t>26-903</t>
  </si>
  <si>
    <t>Pologne</t>
  </si>
  <si>
    <t>Menti Verdi AS</t>
  </si>
  <si>
    <t>Kristin Pleym</t>
  </si>
  <si>
    <t>479,20Â â‚¬</t>
  </si>
  <si>
    <t>Stokkanhaugen 51c</t>
  </si>
  <si>
    <t>Trondheim</t>
  </si>
  <si>
    <t>La boutique de la chouine</t>
  </si>
  <si>
    <t>Mailys Veillon</t>
  </si>
  <si>
    <t>280,85Â â‚¬</t>
  </si>
  <si>
    <t>619 Route du Double</t>
  </si>
  <si>
    <t>Saint-Sixte</t>
  </si>
  <si>
    <t>LA CASA</t>
  </si>
  <si>
    <t>V2Ronique VIGREUX</t>
  </si>
  <si>
    <t>1â€¯378,36Â â‚¬</t>
  </si>
  <si>
    <t>47 Avenue de l'Isle</t>
  </si>
  <si>
    <t>Saint-Gaudens</t>
  </si>
  <si>
    <t>Corps Sauvage</t>
  </si>
  <si>
    <t>nolwenn brechaire</t>
  </si>
  <si>
    <t>282,52Â â‚¬</t>
  </si>
  <si>
    <t>53,82Â â‚¬</t>
  </si>
  <si>
    <t>4 Rue Sainte-Marguerite</t>
  </si>
  <si>
    <t>Dissay-sous-Courcillon</t>
  </si>
  <si>
    <t>Lâ€™adresse...</t>
  </si>
  <si>
    <t>Julie Briere</t>
  </si>
  <si>
    <t>12 Rue du Chapitre</t>
  </si>
  <si>
    <t>Rennes</t>
  </si>
  <si>
    <t>synergie des sens</t>
  </si>
  <si>
    <t>Sabrina LANDAIS</t>
  </si>
  <si>
    <t>154,00Â â‚¬</t>
  </si>
  <si>
    <t>66 Chemin des Ã‰coliers</t>
  </si>
  <si>
    <t>Attignat</t>
  </si>
  <si>
    <t>La Savonnerie De Saint-RÃ©my De Provence</t>
  </si>
  <si>
    <t>Nadezhda Mora</t>
  </si>
  <si>
    <t>495,60Â â‚¬</t>
  </si>
  <si>
    <t>144,12Â â‚¬</t>
  </si>
  <si>
    <t>3 Rue Lafayette</t>
  </si>
  <si>
    <t>Saint-RÃ©my-de-Provence</t>
  </si>
  <si>
    <t>L arbre des merveilles</t>
  </si>
  <si>
    <t>Manuela Mouton</t>
  </si>
  <si>
    <t>584,04Â â‚¬</t>
  </si>
  <si>
    <t>286,04Â â‚¬</t>
  </si>
  <si>
    <t>23 Avenue du Pont</t>
  </si>
  <si>
    <t>Montrond-les-Bains</t>
  </si>
  <si>
    <t>La Richebourgeoise</t>
  </si>
  <si>
    <t>CÃ©cile LANSELLE</t>
  </si>
  <si>
    <t>268,68Â â‚¬</t>
  </si>
  <si>
    <t>14 Rue du Moulin l'AvouÃ©</t>
  </si>
  <si>
    <t>Richebourg</t>
  </si>
  <si>
    <t>Lâ€™Atelier de la Carnotte</t>
  </si>
  <si>
    <t>VÃ©ronique NOVERRAZ</t>
  </si>
  <si>
    <t>103,16Â â‚¬</t>
  </si>
  <si>
    <t>17 Rue de Verdun</t>
  </si>
  <si>
    <t>Jonage</t>
  </si>
  <si>
    <t>l'aura</t>
  </si>
  <si>
    <t>laura Bernier</t>
  </si>
  <si>
    <t>229,32Â â‚¬</t>
  </si>
  <si>
    <t>146bis Rue Henri Bocquet</t>
  </si>
  <si>
    <t>Bouchain</t>
  </si>
  <si>
    <t>laurence32000@hotmail.com</t>
  </si>
  <si>
    <t>la_caverne-de-lolo</t>
  </si>
  <si>
    <t>laurence Talagrand</t>
  </si>
  <si>
    <t>408,18Â â‚¬</t>
  </si>
  <si>
    <t xml:space="preserve">8 rue du mÃ©decin gÃ©nÃ©ral boyer pavillon 13 </t>
  </si>
  <si>
    <t xml:space="preserve">Saint-Gaudens </t>
  </si>
  <si>
    <t>LE D'ALLIA BY AUDREY LC</t>
  </si>
  <si>
    <t>Audrey Lauze</t>
  </si>
  <si>
    <t>431,46Â â‚¬</t>
  </si>
  <si>
    <t>29 impasse du clocher</t>
  </si>
  <si>
    <t>Cendras</t>
  </si>
  <si>
    <t>Institut de beautÃ© L'AurÃ©lina Ã  FLAUJAC-POUJOLS</t>
  </si>
  <si>
    <t>lavernhe adeline</t>
  </si>
  <si>
    <t>331,20Â â‚¬</t>
  </si>
  <si>
    <t>705 Les Ramades</t>
  </si>
  <si>
    <t>Flaujac-Poujols</t>
  </si>
  <si>
    <t>La vie est belle by mv</t>
  </si>
  <si>
    <t>Virginie Aires</t>
  </si>
  <si>
    <t>4540 Princess Anne Road</t>
  </si>
  <si>
    <t>Virginia Beach</t>
  </si>
  <si>
    <t>VA</t>
  </si>
  <si>
    <t>The Balm Box</t>
  </si>
  <si>
    <t>Liz Benditt</t>
  </si>
  <si>
    <t>155,40Â â‚¬</t>
  </si>
  <si>
    <t>6500 West 110th Street</t>
  </si>
  <si>
    <t>Suite 100</t>
  </si>
  <si>
    <t>Overland Park</t>
  </si>
  <si>
    <t>KS</t>
  </si>
  <si>
    <t>Catello hair studio</t>
  </si>
  <si>
    <t>Catello Abagnale</t>
  </si>
  <si>
    <t>10 Via Giuseppe Cosenza</t>
  </si>
  <si>
    <t>Castellammare di Stabia</t>
  </si>
  <si>
    <t>L'Erboristeria Del Borgo</t>
  </si>
  <si>
    <t>Francesca MARAngon</t>
  </si>
  <si>
    <t>287,10Â â‚¬</t>
  </si>
  <si>
    <t>530,50Â â‚¬</t>
  </si>
  <si>
    <t>74 Via Vittorio Emanuele II</t>
  </si>
  <si>
    <t>Borgo Ticino</t>
  </si>
  <si>
    <t>Le Salon Zen / AmandineMB Facialiste</t>
  </si>
  <si>
    <t>Amandine Medina</t>
  </si>
  <si>
    <t>159,84Â â‚¬</t>
  </si>
  <si>
    <t>90 Corniche AndrÃ© de Joly</t>
  </si>
  <si>
    <t>Les Essentielles</t>
  </si>
  <si>
    <t>coralie biteau</t>
  </si>
  <si>
    <t>223,44Â â‚¬</t>
  </si>
  <si>
    <t>10 Rue Paul Baudry</t>
  </si>
  <si>
    <t>La Roche-sur-Yon</t>
  </si>
  <si>
    <t>lessenteursdelena@gmail.com</t>
  </si>
  <si>
    <t>Les Senteurs dâ€™Ã©lena</t>
  </si>
  <si>
    <t>Elodie Kirket</t>
  </si>
  <si>
    <t>266,58Â â‚¬</t>
  </si>
  <si>
    <t>6 Rue du Champ de la Vigne</t>
  </si>
  <si>
    <t>Vivonne</t>
  </si>
  <si>
    <t>Les senteurs de ninine</t>
  </si>
  <si>
    <t>sandrine lefur</t>
  </si>
  <si>
    <t>269,64Â â‚¬</t>
  </si>
  <si>
    <t>30 Rue du Pont du FrÃªne</t>
  </si>
  <si>
    <t>Thorigny</t>
  </si>
  <si>
    <t>lestresorsdejulie11@gmail.com</t>
  </si>
  <si>
    <t>Les trÃ©sors de Julie</t>
  </si>
  <si>
    <t>MARSELLI MARIE</t>
  </si>
  <si>
    <t>178,86Â â‚¬</t>
  </si>
  <si>
    <t>21 Avenue d'Esperaza</t>
  </si>
  <si>
    <t>Campagne-sur-Aude</t>
  </si>
  <si>
    <t>L'AIRONE SOCIETA' COOPERATIVA SOCIALE / Montevert</t>
  </si>
  <si>
    <t>Lino Milani</t>
  </si>
  <si>
    <t>606,48Â â‚¬</t>
  </si>
  <si>
    <t>8/A Via Isonzo</t>
  </si>
  <si>
    <t>Stezzano</t>
  </si>
  <si>
    <t>linstantpoursoi36260@gmail.com</t>
  </si>
  <si>
    <t>Lâ€™instant pour soi reuilly</t>
  </si>
  <si>
    <t xml:space="preserve">Charline  Bazin </t>
  </si>
  <si>
    <t>428,58Â â‚¬</t>
  </si>
  <si>
    <t>302,04Â â‚¬</t>
  </si>
  <si>
    <t>12 Rue des Champs du Bois</t>
  </si>
  <si>
    <t>Reuilly</t>
  </si>
  <si>
    <t>Raw Organic</t>
  </si>
  <si>
    <t>Lisa-Maria Junnila</t>
  </si>
  <si>
    <t>185,36Â â‚¬</t>
  </si>
  <si>
    <t xml:space="preserve">Skanssinkatu 10 </t>
  </si>
  <si>
    <t xml:space="preserve">Kauppakeskus Skanssi , 1.kerros Raw Organic </t>
  </si>
  <si>
    <t>Turku</t>
  </si>
  <si>
    <t>Live girly</t>
  </si>
  <si>
    <t>Laila Bridier</t>
  </si>
  <si>
    <t>377,94Â â‚¬</t>
  </si>
  <si>
    <t>2 Avenue de Vias</t>
  </si>
  <si>
    <t>RÃ©sidence laffenage bat A</t>
  </si>
  <si>
    <t>Agde</t>
  </si>
  <si>
    <t>DanefÃ¦ ApS</t>
  </si>
  <si>
    <t>Louise HÃ¦kkerup</t>
  </si>
  <si>
    <t>749,34Â â‚¬</t>
  </si>
  <si>
    <t>9 HÃ¸jvÃ¦nget</t>
  </si>
  <si>
    <t>Beder</t>
  </si>
  <si>
    <t>Lourisseandco</t>
  </si>
  <si>
    <t>Stephanie BRISWALDER</t>
  </si>
  <si>
    <t>131,52Â â‚¬</t>
  </si>
  <si>
    <t>218 Rue De Reiningue</t>
  </si>
  <si>
    <t>WITTELSHEIM</t>
  </si>
  <si>
    <t>lesessentielsdelucie</t>
  </si>
  <si>
    <t>Lucie Lagrange</t>
  </si>
  <si>
    <t>220,78Â â‚¬</t>
  </si>
  <si>
    <t>19 La RenonniÃ¨re</t>
  </si>
  <si>
    <t>Guipry-Messac</t>
  </si>
  <si>
    <t>IGREC</t>
  </si>
  <si>
    <t>lucie dupuis - IGREC</t>
  </si>
  <si>
    <t>165,60Â â‚¬</t>
  </si>
  <si>
    <t>20 Rue des Vergers</t>
  </si>
  <si>
    <t>Les Alluets-le-Roi</t>
  </si>
  <si>
    <t>LumaÃ¯a Beauty</t>
  </si>
  <si>
    <t>Laetitia Grange</t>
  </si>
  <si>
    <t>239,82Â â‚¬</t>
  </si>
  <si>
    <t>55,32Â â‚¬</t>
  </si>
  <si>
    <t>3 Rue de la ClÃ© du PrÃ©</t>
  </si>
  <si>
    <t>Courfaivre</t>
  </si>
  <si>
    <t>Lyn et une senteur</t>
  </si>
  <si>
    <t>Lynda Dubois</t>
  </si>
  <si>
    <t>206,72Â â‚¬</t>
  </si>
  <si>
    <t>21 Rue Pasteur</t>
  </si>
  <si>
    <t>Bruille-lez-Marchiennes</t>
  </si>
  <si>
    <t>Bellade</t>
  </si>
  <si>
    <t>Manon JABOUILLE</t>
  </si>
  <si>
    <t>1â€¯527,32Â â‚¬</t>
  </si>
  <si>
    <t>34 Rue de la Croix Blanche</t>
  </si>
  <si>
    <t>Champniers</t>
  </si>
  <si>
    <t>Mam's creas</t>
  </si>
  <si>
    <t>Julie Alves martins</t>
  </si>
  <si>
    <t>380,88Â â‚¬</t>
  </si>
  <si>
    <t>7 Rue Jean Chanat</t>
  </si>
  <si>
    <t>Beuvrages</t>
  </si>
  <si>
    <t>ECOteekki</t>
  </si>
  <si>
    <t>Maria Korhonen</t>
  </si>
  <si>
    <t>2â€¯042,34Â â‚¬</t>
  </si>
  <si>
    <t>728,24Â â‚¬</t>
  </si>
  <si>
    <t>28 Kauppakatu</t>
  </si>
  <si>
    <t>Joensuu</t>
  </si>
  <si>
    <t>Institut de BeautÃ© Muse</t>
  </si>
  <si>
    <t xml:space="preserve">Marina  Raude </t>
  </si>
  <si>
    <t>152,10Â â‚¬</t>
  </si>
  <si>
    <t>36 Rue Gambetta</t>
  </si>
  <si>
    <t>Fresnoy-le-Grand</t>
  </si>
  <si>
    <t>Marine Beaumont naturo</t>
  </si>
  <si>
    <t>Marine beaumont</t>
  </si>
  <si>
    <t>181,92Â â‚¬</t>
  </si>
  <si>
    <t>12 Le RÃ¢teau</t>
  </si>
  <si>
    <t>La ChevroliÃ¨re</t>
  </si>
  <si>
    <t>Bien-Ãªtre par Marine</t>
  </si>
  <si>
    <t>Marine Raffin</t>
  </si>
  <si>
    <t>253,80Â â‚¬</t>
  </si>
  <si>
    <t>8 rue de l'Ã©toile</t>
  </si>
  <si>
    <t>st leger sous cholet</t>
  </si>
  <si>
    <t>Parrucchiera Unisex Il Giardino Di Marta Di Cimino Marta &amp; C. Snc</t>
  </si>
  <si>
    <t>Marta Cimino</t>
  </si>
  <si>
    <t>199,04Â â‚¬</t>
  </si>
  <si>
    <t>97 Piazza Quattro Novembre</t>
  </si>
  <si>
    <t>Flero</t>
  </si>
  <si>
    <t>Robin'S Top Company Srl</t>
  </si>
  <si>
    <t>Marianne MICA</t>
  </si>
  <si>
    <t>0,00Â RON</t>
  </si>
  <si>
    <t>43 Strada PolonÄƒ</t>
  </si>
  <si>
    <t>BucureÈ™ti</t>
  </si>
  <si>
    <t>Roumanie</t>
  </si>
  <si>
    <t>Maudinette</t>
  </si>
  <si>
    <t>Maud Vanin</t>
  </si>
  <si>
    <t>377,88Â â‚¬</t>
  </si>
  <si>
    <t>14 Chemin du Banque</t>
  </si>
  <si>
    <t>Labastidette</t>
  </si>
  <si>
    <t>Make Up Your Beauty</t>
  </si>
  <si>
    <t>Amelie Ortner</t>
  </si>
  <si>
    <t>418,54Â â‚¬</t>
  </si>
  <si>
    <t>17 Am Unterfeld</t>
  </si>
  <si>
    <t>Mering</t>
  </si>
  <si>
    <t>Allemagne</t>
  </si>
  <si>
    <t>allemand</t>
  </si>
  <si>
    <t>Fialka Studio</t>
  </si>
  <si>
    <t>Maria Lima</t>
  </si>
  <si>
    <t>141,26Â â‚¬</t>
  </si>
  <si>
    <t>280,80Â â‚¬</t>
  </si>
  <si>
    <t>5 Rua Monteiro de Lima</t>
  </si>
  <si>
    <t>Abrantes</t>
  </si>
  <si>
    <t>2200-421</t>
  </si>
  <si>
    <t>portugais</t>
  </si>
  <si>
    <t>L Authentique Esthetique</t>
  </si>
  <si>
    <t>Melanie  Feutry</t>
  </si>
  <si>
    <t>421,14Â â‚¬</t>
  </si>
  <si>
    <t>2 Rue de Couchot</t>
  </si>
  <si>
    <t>Bar-le-Duc</t>
  </si>
  <si>
    <t>Coeur de beautÃ©</t>
  </si>
  <si>
    <t>Melanie  Chanteux</t>
  </si>
  <si>
    <t>466,94Â â‚¬</t>
  </si>
  <si>
    <t>15 Rue Lucien Laurent</t>
  </si>
  <si>
    <t>Beloeil</t>
  </si>
  <si>
    <t>Messalyne institut</t>
  </si>
  <si>
    <t>MESSALYNE DHAININ</t>
  </si>
  <si>
    <t>150,46Â â‚¬</t>
  </si>
  <si>
    <t>17 Boulevard LaromiguiÃ¨re</t>
  </si>
  <si>
    <t>Rodez</t>
  </si>
  <si>
    <t>Meta Skin Studio</t>
  </si>
  <si>
    <t>Juliet Tierney</t>
  </si>
  <si>
    <t>1514 Fairway Ct.</t>
  </si>
  <si>
    <t>#2612</t>
  </si>
  <si>
    <t>Borrego Springs</t>
  </si>
  <si>
    <t>CA</t>
  </si>
  <si>
    <t>Breizh power</t>
  </si>
  <si>
    <t>mickael marteau</t>
  </si>
  <si>
    <t>220,16Â â‚¬</t>
  </si>
  <si>
    <t>15 rue guillaume onfroy</t>
  </si>
  <si>
    <t>Saint Malo</t>
  </si>
  <si>
    <t>mima388@hotmail.com</t>
  </si>
  <si>
    <t>LunÃ©a Boutique</t>
  </si>
  <si>
    <t>Mohamed El Baghdadi</t>
  </si>
  <si>
    <t>306,24Â â‚¬</t>
  </si>
  <si>
    <t>11 Rue de l'AgrÃ©ment</t>
  </si>
  <si>
    <t>Anderlecht</t>
  </si>
  <si>
    <t>Mona shopp senteur</t>
  </si>
  <si>
    <t>Monique Rimbert</t>
  </si>
  <si>
    <t>129,78Â â‚¬</t>
  </si>
  <si>
    <t>9 AllÃ©e Jean CavaillÃ¨s</t>
  </si>
  <si>
    <t>Mont-de-Marsan</t>
  </si>
  <si>
    <t>Bodyworks piercing</t>
  </si>
  <si>
    <t>morgane berdah</t>
  </si>
  <si>
    <t>201,12Â â‚¬</t>
  </si>
  <si>
    <t>52 Rue de la Palud</t>
  </si>
  <si>
    <t>Vintage Coffee &amp; Clutter</t>
  </si>
  <si>
    <t>Elisha Mullin</t>
  </si>
  <si>
    <t>587,92Â â‚¬</t>
  </si>
  <si>
    <t>485 Ester Road</t>
  </si>
  <si>
    <t>Grant</t>
  </si>
  <si>
    <t>AL</t>
  </si>
  <si>
    <t>Aux 4 Coins de France</t>
  </si>
  <si>
    <t>murielle cadillon</t>
  </si>
  <si>
    <t>127,56Â â‚¬</t>
  </si>
  <si>
    <t>61,20Â â‚¬</t>
  </si>
  <si>
    <t>26 Avenue des PyrÃ©nÃ©es</t>
  </si>
  <si>
    <t>Seissan</t>
  </si>
  <si>
    <t>Les Mini Beauty</t>
  </si>
  <si>
    <t>Aurore MUSSEAU</t>
  </si>
  <si>
    <t>207,22Â â‚¬</t>
  </si>
  <si>
    <t>36 Rue du Grand Village</t>
  </si>
  <si>
    <t>La VallÃ©e</t>
  </si>
  <si>
    <t>La gourmandile</t>
  </si>
  <si>
    <t>Natacha Perez</t>
  </si>
  <si>
    <t>528,58Â â‚¬</t>
  </si>
  <si>
    <t>45,60Â â‚¬</t>
  </si>
  <si>
    <t>1449 Rue de Louviers</t>
  </si>
  <si>
    <t>Saint-Pierre-lÃ¨s-Elbeuf</t>
  </si>
  <si>
    <t>Cover nails</t>
  </si>
  <si>
    <t>Cover Nails</t>
  </si>
  <si>
    <t>149,22Â â‚¬</t>
  </si>
  <si>
    <t>242,16Â â‚¬</t>
  </si>
  <si>
    <t>3 Rue du Jura</t>
  </si>
  <si>
    <t>Moirans-en-Montagne</t>
  </si>
  <si>
    <t>Olypur</t>
  </si>
  <si>
    <t>Nathalie Couturier</t>
  </si>
  <si>
    <t>1â€¯162,80Â â‚¬</t>
  </si>
  <si>
    <t>335, chemin des Ã©rables</t>
  </si>
  <si>
    <t>Le Cergne</t>
  </si>
  <si>
    <t>Naturelie</t>
  </si>
  <si>
    <t xml:space="preserve">AurÃ©lie  Philippine </t>
  </si>
  <si>
    <t>7 Rue de Bayeux</t>
  </si>
  <si>
    <t>Le Molay-Littry</t>
  </si>
  <si>
    <t>institut bio natur'elle</t>
  </si>
  <si>
    <t>AurÃ©lia Willem</t>
  </si>
  <si>
    <t>299,04Â â‚¬</t>
  </si>
  <si>
    <t>8 Place du MarchÃ© Vert</t>
  </si>
  <si>
    <t>SÃ©lestat</t>
  </si>
  <si>
    <t>Naturâ€™elle Extensions &amp; Soins</t>
  </si>
  <si>
    <t>Mandy Uebelhart</t>
  </si>
  <si>
    <t>10 Rue de la Gare</t>
  </si>
  <si>
    <t>Milvignes</t>
  </si>
  <si>
    <t>Naturellementessentiel</t>
  </si>
  <si>
    <t>Elodie Simon</t>
  </si>
  <si>
    <t>316,80Â â‚¬</t>
  </si>
  <si>
    <t>105,60Â â‚¬</t>
  </si>
  <si>
    <t>26 Rue du Baron Blanquet</t>
  </si>
  <si>
    <t>Lamotte-Beuvron</t>
  </si>
  <si>
    <t>Keraliss lissage</t>
  </si>
  <si>
    <t>Najet Nouggaoui</t>
  </si>
  <si>
    <t>246,96Â â‚¬</t>
  </si>
  <si>
    <t>17 Avenue du GÃ©nÃ©ral Leclerc</t>
  </si>
  <si>
    <t>NÃ®mes</t>
  </si>
  <si>
    <t>Pulse Nova</t>
  </si>
  <si>
    <t>Alexandre DUPAS</t>
  </si>
  <si>
    <t>298,00Â â‚¬</t>
  </si>
  <si>
    <t>36 RUE ROGER SALENGRO</t>
  </si>
  <si>
    <t>BONDY</t>
  </si>
  <si>
    <t>Nuances Coiffure (Severine )</t>
  </si>
  <si>
    <t>Nuances Coiffure</t>
  </si>
  <si>
    <t>3 Rue des Ribains</t>
  </si>
  <si>
    <t>JouÃ©-lÃ¨s-Tours</t>
  </si>
  <si>
    <t>LaMa - Dekor, CafÃ© &amp; mehr</t>
  </si>
  <si>
    <t>Martina Enthammer</t>
  </si>
  <si>
    <t>130,02Â â‚¬</t>
  </si>
  <si>
    <t>43 Stadtplatz</t>
  </si>
  <si>
    <t>Mattighofen</t>
  </si>
  <si>
    <t>Autriche</t>
  </si>
  <si>
    <t>OldEmporium</t>
  </si>
  <si>
    <t>Alfredo Arca</t>
  </si>
  <si>
    <t>216,96Â â‚¬</t>
  </si>
  <si>
    <t>Strada Lungofino, 187</t>
  </si>
  <si>
    <t>blocco h modulo a c/o MOMOKA</t>
  </si>
  <si>
    <t>CittÃ  Sant'Angelo</t>
  </si>
  <si>
    <t>omb.ohmybath@gmail.com</t>
  </si>
  <si>
    <t>Oh My Bath</t>
  </si>
  <si>
    <t>Christelle ROZEC</t>
  </si>
  <si>
    <t>157,80Â â‚¬</t>
  </si>
  <si>
    <t>5 Venelle du Patronage</t>
  </si>
  <si>
    <t>Plougourvest</t>
  </si>
  <si>
    <t>Palais des arÃ´mes</t>
  </si>
  <si>
    <t>alan afonso</t>
  </si>
  <si>
    <t>366,84Â â‚¬</t>
  </si>
  <si>
    <t>34 Rue Saint-Fuscien</t>
  </si>
  <si>
    <t>Amiens</t>
  </si>
  <si>
    <t>PaulaCosmetics</t>
  </si>
  <si>
    <t>AngÃ©line Ribouleau</t>
  </si>
  <si>
    <t>532,80Â â‚¬</t>
  </si>
  <si>
    <t>4ter Rue Des Tisserands</t>
  </si>
  <si>
    <t>Courlay</t>
  </si>
  <si>
    <t>Pauplia</t>
  </si>
  <si>
    <t xml:space="preserve">Victoria  Wagner </t>
  </si>
  <si>
    <t>184,80Â â‚¬</t>
  </si>
  <si>
    <t>6 lotissement la condamine</t>
  </si>
  <si>
    <t>Cayres</t>
  </si>
  <si>
    <t>Paus'Essentielle</t>
  </si>
  <si>
    <t>MYRIAM BROUAT</t>
  </si>
  <si>
    <t>169,56Â â‚¬</t>
  </si>
  <si>
    <t>108,42Â â‚¬</t>
  </si>
  <si>
    <t>43 route d'Agen</t>
  </si>
  <si>
    <t>Tournon-d'Agenais</t>
  </si>
  <si>
    <t>Pharmacie Moreaux Fontan</t>
  </si>
  <si>
    <t>patricia moreaux</t>
  </si>
  <si>
    <t>142,70Â â‚¬</t>
  </si>
  <si>
    <t>9 Rue Montesquieu</t>
  </si>
  <si>
    <t>Agen</t>
  </si>
  <si>
    <t>pharmacie isola 2000</t>
  </si>
  <si>
    <t>Manon PRODEL</t>
  </si>
  <si>
    <t>217,20Â â‚¬</t>
  </si>
  <si>
    <t>RÃ©sidence Tavels</t>
  </si>
  <si>
    <t>Isola</t>
  </si>
  <si>
    <t>Pharmacie Pharmavance Pierre Fontaine</t>
  </si>
  <si>
    <t>Mehdi Gharbi</t>
  </si>
  <si>
    <t>527,46Â â‚¬</t>
  </si>
  <si>
    <t>1 Rue Pierre Fontaine</t>
  </si>
  <si>
    <t>Paris</t>
  </si>
  <si>
    <t>GaÃ¯a et Demeterre</t>
  </si>
  <si>
    <t>MichÃ¨le Purro</t>
  </si>
  <si>
    <t>233,88Â â‚¬</t>
  </si>
  <si>
    <t>Rte de la Ria</t>
  </si>
  <si>
    <t>Posieux</t>
  </si>
  <si>
    <t>Univers de Djenn &amp; Eden</t>
  </si>
  <si>
    <t>Jennifer Quellet</t>
  </si>
  <si>
    <t>131,76Â â‚¬</t>
  </si>
  <si>
    <t xml:space="preserve">10 allÃ©e des granges </t>
  </si>
  <si>
    <t>Puiseaux</t>
  </si>
  <si>
    <t>Ujamaa Concept Store By LRDN</t>
  </si>
  <si>
    <t>Ntumba Ndaya</t>
  </si>
  <si>
    <t>113,40Â â‚¬</t>
  </si>
  <si>
    <t>19 Rue de Bruxelles</t>
  </si>
  <si>
    <t>Enghien</t>
  </si>
  <si>
    <t>Kenkodojo</t>
  </si>
  <si>
    <t>Centre de fitness ou de yoga</t>
  </si>
  <si>
    <t>Ralph Winkler</t>
  </si>
  <si>
    <t>Schaffhauserstrasse 82</t>
  </si>
  <si>
    <t>Winterthur</t>
  </si>
  <si>
    <t>Renaissance</t>
  </si>
  <si>
    <t xml:space="preserve">Sylvie  DUCHAND </t>
  </si>
  <si>
    <t>314,64Â â‚¬</t>
  </si>
  <si>
    <t>17 Avenue de Firminy</t>
  </si>
  <si>
    <t>Aurec-sur-Loire</t>
  </si>
  <si>
    <t>STefanie Lorenz - IDALIA</t>
  </si>
  <si>
    <t>Stefanie Lorenz</t>
  </si>
  <si>
    <t>533,00Â â‚¬</t>
  </si>
  <si>
    <t>368,00Â â‚¬</t>
  </si>
  <si>
    <t>Am SonnenbÃ¼hl 6</t>
  </si>
  <si>
    <t>Hirschegg</t>
  </si>
  <si>
    <t>Safia kdo</t>
  </si>
  <si>
    <t>Nawel Labroche</t>
  </si>
  <si>
    <t>196,92Â â‚¬</t>
  </si>
  <si>
    <t>456,86Â â‚¬</t>
  </si>
  <si>
    <t>5 Rue Jean Mermoz</t>
  </si>
  <si>
    <t>Aubenton</t>
  </si>
  <si>
    <t>Stationery and Office Supplies Breschan</t>
  </si>
  <si>
    <t>Librairie</t>
  </si>
  <si>
    <t>Sandra Jausz</t>
  </si>
  <si>
    <t>105,36Â â‚¬</t>
  </si>
  <si>
    <t>6 Kirchgasse</t>
  </si>
  <si>
    <t>Feldkirchen in KÃ¤rnten</t>
  </si>
  <si>
    <t>Beauty Studio</t>
  </si>
  <si>
    <t>SANDY BESNARD</t>
  </si>
  <si>
    <t>195,84Â â‚¬</t>
  </si>
  <si>
    <t>10 Rue de Champsin</t>
  </si>
  <si>
    <t>ScorbÃ©-Clairvaux</t>
  </si>
  <si>
    <t>Luis Filipe Reis Dinis</t>
  </si>
  <si>
    <t>Liliana Dinis</t>
  </si>
  <si>
    <t>453,08Â â‚¬</t>
  </si>
  <si>
    <t>10A Praceta Infanta D. Isabel de Portugal</t>
  </si>
  <si>
    <t>Belas</t>
  </si>
  <si>
    <t>2605-246</t>
  </si>
  <si>
    <t>Montcornet Presse</t>
  </si>
  <si>
    <t>Sophie Soyeux</t>
  </si>
  <si>
    <t>1â€¯296,90Â â‚¬</t>
  </si>
  <si>
    <t>8 Rue de la Gare</t>
  </si>
  <si>
    <t>Montcornet</t>
  </si>
  <si>
    <t>BIOVIELA</t>
  </si>
  <si>
    <t>ANTHONY BERTOCCHI</t>
  </si>
  <si>
    <t>455,16Â â‚¬</t>
  </si>
  <si>
    <t>16 Rue de Dreuilhe</t>
  </si>
  <si>
    <t>Revel</t>
  </si>
  <si>
    <t>Savonnerie des anges</t>
  </si>
  <si>
    <t>Angeline Giorgi</t>
  </si>
  <si>
    <t>3 Rue Meynadier</t>
  </si>
  <si>
    <t>Mont-Dore</t>
  </si>
  <si>
    <t>Senteurs exquises by Touty</t>
  </si>
  <si>
    <t>Touty MBOUP</t>
  </si>
  <si>
    <t>127,90Â â‚¬</t>
  </si>
  <si>
    <t>3 Avenue de la RÃ©publique</t>
  </si>
  <si>
    <t xml:space="preserve">5eme Ã©tage </t>
  </si>
  <si>
    <t>Fontenay-le-Fleury</t>
  </si>
  <si>
    <t>SÃ©rÃ©lya-store</t>
  </si>
  <si>
    <t>Sophie Berthou</t>
  </si>
  <si>
    <t>557,46Â â‚¬</t>
  </si>
  <si>
    <t>13 Rue de la Fontaine de Chalet</t>
  </si>
  <si>
    <t>Massiac</t>
  </si>
  <si>
    <t>Casual Mood</t>
  </si>
  <si>
    <t>Mathilde Baudart</t>
  </si>
  <si>
    <t>197,40Â â‚¬</t>
  </si>
  <si>
    <t>49,68Â â‚¬</t>
  </si>
  <si>
    <t>77 Avenue LÃ©on Jourez</t>
  </si>
  <si>
    <t>Braine-l'Alleud</t>
  </si>
  <si>
    <t>Coupe Tif et BeautÃ©</t>
  </si>
  <si>
    <t>severine heyman</t>
  </si>
  <si>
    <t>152,52Â â‚¬</t>
  </si>
  <si>
    <t>649,92Â â‚¬</t>
  </si>
  <si>
    <t>11 Rue Charles Jeunehomme</t>
  </si>
  <si>
    <t>Nouzonville</t>
  </si>
  <si>
    <t>Lrz77 CosmÃ©tiques</t>
  </si>
  <si>
    <t>laure larzilliere</t>
  </si>
  <si>
    <t>498,06Â â‚¬</t>
  </si>
  <si>
    <t>76,50Â â‚¬</t>
  </si>
  <si>
    <t>48 Rue du Viaduc</t>
  </si>
  <si>
    <t>Avon</t>
  </si>
  <si>
    <t>Shoptabeautique</t>
  </si>
  <si>
    <t>Shop Ta beautique Dubosque</t>
  </si>
  <si>
    <t>250,94Â â‚¬</t>
  </si>
  <si>
    <t>37 Rue des Fontaines</t>
  </si>
  <si>
    <t>Calvisson</t>
  </si>
  <si>
    <t>skalyabeauty</t>
  </si>
  <si>
    <t>Pascaline spiteri</t>
  </si>
  <si>
    <t>603,42Â â‚¬</t>
  </si>
  <si>
    <t>15 Rue des Equets</t>
  </si>
  <si>
    <t>Leyrieu</t>
  </si>
  <si>
    <t>Sollicia</t>
  </si>
  <si>
    <t>Alina Guignabaudet</t>
  </si>
  <si>
    <t>117,60Â â‚¬</t>
  </si>
  <si>
    <t>110 Rue des Ã‰coles</t>
  </si>
  <si>
    <t>Le Bourget-du-Lac</t>
  </si>
  <si>
    <t>La boutique</t>
  </si>
  <si>
    <t>isabelle isabelle Moreaux</t>
  </si>
  <si>
    <t>153,24Â â‚¬</t>
  </si>
  <si>
    <t>Rue Docteur Gaston Therasse 1</t>
  </si>
  <si>
    <t>YVOIR</t>
  </si>
  <si>
    <t>Stand Bio Me</t>
  </si>
  <si>
    <t>Sara Parisini</t>
  </si>
  <si>
    <t>263,10Â â‚¬</t>
  </si>
  <si>
    <t>106,36Â â‚¬</t>
  </si>
  <si>
    <t>11 Via Bagni di Mario</t>
  </si>
  <si>
    <t>Bologna</t>
  </si>
  <si>
    <t>Chrisaromes</t>
  </si>
  <si>
    <t>Papst Christelle</t>
  </si>
  <si>
    <t>194,58Â â‚¬</t>
  </si>
  <si>
    <t>3 Rue de Sonville</t>
  </si>
  <si>
    <t xml:space="preserve">Chaintreaux </t>
  </si>
  <si>
    <t>Natural Clean &amp; Beauty-Ongaro Pietro &amp; C. Snc</t>
  </si>
  <si>
    <t>Alessandra Cescon</t>
  </si>
  <si>
    <t>232,50Â â‚¬</t>
  </si>
  <si>
    <t>n.3 via dell'Artigianato</t>
  </si>
  <si>
    <t>Ormelle</t>
  </si>
  <si>
    <t>Studio BC</t>
  </si>
  <si>
    <t>Brigitte Campagna</t>
  </si>
  <si>
    <t>184,66Â â‚¬</t>
  </si>
  <si>
    <t>rte du ChÃ¢ble 20</t>
  </si>
  <si>
    <t>Gorgier</t>
  </si>
  <si>
    <t>Sublimelle91</t>
  </si>
  <si>
    <t>ARISTIA KENTOULA  ANTEMY</t>
  </si>
  <si>
    <t>166,10Â â‚¬</t>
  </si>
  <si>
    <t>10B Avenue Henri Barbusse</t>
  </si>
  <si>
    <t>Vigneux-sur-Seine</t>
  </si>
  <si>
    <t>AurelS BeautÃ©</t>
  </si>
  <si>
    <t>Aurelie Szlachta</t>
  </si>
  <si>
    <t>298,80Â â‚¬</t>
  </si>
  <si>
    <t>220 Rue des Lunetiers</t>
  </si>
  <si>
    <t>Cuise-la-Motte</t>
  </si>
  <si>
    <t>Terre de Soins</t>
  </si>
  <si>
    <t>Perrine Foulonneau</t>
  </si>
  <si>
    <t>162,00Â â‚¬</t>
  </si>
  <si>
    <t>35 Rue de Saint-PÃ¨re en Retz</t>
  </si>
  <si>
    <t>ChauvÃ©</t>
  </si>
  <si>
    <t>The Body Shop</t>
  </si>
  <si>
    <t>THE BODY SHOP Hauswirth Sylvia</t>
  </si>
  <si>
    <t>563,40Â â‚¬</t>
  </si>
  <si>
    <t>1 EuropastraÃŸe</t>
  </si>
  <si>
    <t>Salzburg</t>
  </si>
  <si>
    <t>The Girly Shop</t>
  </si>
  <si>
    <t>Amelie Lemare</t>
  </si>
  <si>
    <t>216,84Â â‚¬</t>
  </si>
  <si>
    <t>15,78Â â‚¬</t>
  </si>
  <si>
    <t>16 Rue Richelieu</t>
  </si>
  <si>
    <t>Tours</t>
  </si>
  <si>
    <t>The Spa at Oaks Resort</t>
  </si>
  <si>
    <t>manon Zanelli</t>
  </si>
  <si>
    <t>144,06Â â‚¬</t>
  </si>
  <si>
    <t>0,00Â $AU</t>
  </si>
  <si>
    <t>87-109 Port Douglas Road</t>
  </si>
  <si>
    <t>Port Douglas</t>
  </si>
  <si>
    <t>Australie</t>
  </si>
  <si>
    <t>The Vape Club - Manor Street</t>
  </si>
  <si>
    <t>Anthony Halpin</t>
  </si>
  <si>
    <t>324,90Â â‚¬</t>
  </si>
  <si>
    <t>Manor Street</t>
  </si>
  <si>
    <t>Dublin 7</t>
  </si>
  <si>
    <t>D07 X48X</t>
  </si>
  <si>
    <t>Irlande</t>
  </si>
  <si>
    <t>Thierry gerber</t>
  </si>
  <si>
    <t>Thierry Gerber</t>
  </si>
  <si>
    <t>145,44Â â‚¬</t>
  </si>
  <si>
    <t>11 Rue de la Paix</t>
  </si>
  <si>
    <t>Saint-Louis</t>
  </si>
  <si>
    <t>thulasi</t>
  </si>
  <si>
    <t>sheila sundara vinayagam</t>
  </si>
  <si>
    <t>139,68Â â‚¬</t>
  </si>
  <si>
    <t>58 Passage Brady</t>
  </si>
  <si>
    <t>Glamour di Nigro Tiziana</t>
  </si>
  <si>
    <t>Tiziana Nigro</t>
  </si>
  <si>
    <t>168,90Â â‚¬</t>
  </si>
  <si>
    <t>n 67 Via A. De Gasperi</t>
  </si>
  <si>
    <t>Avetrana</t>
  </si>
  <si>
    <t>La Valle Dei Balocchi</t>
  </si>
  <si>
    <t>Valentina Diana</t>
  </si>
  <si>
    <t>394,32Â â‚¬</t>
  </si>
  <si>
    <t>Via Pascoli 21/B</t>
  </si>
  <si>
    <t>Casamassima</t>
  </si>
  <si>
    <t>CosmÃ©'Val 55</t>
  </si>
  <si>
    <t xml:space="preserve">ValÃ©rie  JACQUET </t>
  </si>
  <si>
    <t>100,00Â â‚¬</t>
  </si>
  <si>
    <t>10 Rue du Tilleul</t>
  </si>
  <si>
    <t>Ã‰tain</t>
  </si>
  <si>
    <t>Vaness Esthetique</t>
  </si>
  <si>
    <t xml:space="preserve">Vanessa  Chacim </t>
  </si>
  <si>
    <t>12 Impasse des Lys</t>
  </si>
  <si>
    <t>Losne</t>
  </si>
  <si>
    <t>Veritas in vino</t>
  </si>
  <si>
    <t>KaRine Lefebvre</t>
  </si>
  <si>
    <t>716,78Â â‚¬</t>
  </si>
  <si>
    <t>201,90Â â‚¬</t>
  </si>
  <si>
    <t>Route Nationale 117</t>
  </si>
  <si>
    <t>Biaudos</t>
  </si>
  <si>
    <t>vero@lepanierdeverane.fr</t>
  </si>
  <si>
    <t>Le Panier de VÃ©rane</t>
  </si>
  <si>
    <t>VÃ©ronique Le Roux</t>
  </si>
  <si>
    <t>164,74Â â‚¬</t>
  </si>
  <si>
    <t>4 Rue Charles Schmidt</t>
  </si>
  <si>
    <t>Saint-Ouen-sur-Seine</t>
  </si>
  <si>
    <t>Vertus Naturelles</t>
  </si>
  <si>
    <t>DÃ©borah Sanson</t>
  </si>
  <si>
    <t>219,00Â â‚¬</t>
  </si>
  <si>
    <t>102,66Â â‚¬</t>
  </si>
  <si>
    <t>12 rue principale</t>
  </si>
  <si>
    <t>Radinghem</t>
  </si>
  <si>
    <t>Vital drops</t>
  </si>
  <si>
    <t>Hassan Hossaini</t>
  </si>
  <si>
    <t>621,66Â â‚¬</t>
  </si>
  <si>
    <t>25 NÃ¶bbelÃ¶vs torg</t>
  </si>
  <si>
    <t>Lund</t>
  </si>
  <si>
    <t>226 38</t>
  </si>
  <si>
    <t>suÃ©dois</t>
  </si>
  <si>
    <t>Full Address</t>
  </si>
  <si>
    <t>Client Zone</t>
  </si>
  <si>
    <t>Business Sector</t>
  </si>
  <si>
    <t>Client Value</t>
  </si>
  <si>
    <t>Sales Impact Clean</t>
  </si>
  <si>
    <t>27 Rue de la Poussinière, 45480 Bazoches-les-Gallerandes, France</t>
  </si>
  <si>
    <t>Blakstadlia 58B, 1386 Asker, Norway</t>
  </si>
  <si>
    <t>20 Rue du Pavillon, 79210 Mauzé-sur-le-Mignon, France</t>
  </si>
  <si>
    <t>Stokkanhaugen 51c, 7048 Trondheim, Norway</t>
  </si>
  <si>
    <t>Rue du Ctre 20, 2023 Gorgier, Switzerland</t>
  </si>
  <si>
    <t>Rúa O Pinar, 15, 36400 O Porriño, Pontevedra, Spain</t>
  </si>
  <si>
    <t>976 La Gandolière, 72220 Écommoy, France</t>
  </si>
  <si>
    <t>43 Strada Polonă, București, 30167, Romania</t>
  </si>
  <si>
    <t>17 Boulevard Laromiguière, 12000 Rodez, France</t>
  </si>
  <si>
    <t>11 Rue de l’Agrément, 1070 Anderlecht, Belgium</t>
  </si>
  <si>
    <t>25 Nöbbelövs torg, 226 38 Lund, Sweden</t>
  </si>
  <si>
    <t>8 rue de l’Étoile, Saint-Léger-sous-Cholet, 49280, France</t>
  </si>
  <si>
    <t>35 Rue de Saint-Père-en-Retz, Chauvé, 44320, France</t>
  </si>
  <si>
    <t>12 Le Râteau, La Chevrolière, 44118, France</t>
  </si>
  <si>
    <t>53 Impasse de L’Oulivado, Saint-Paul-en-Forêt, 83440,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</si>
</sst>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32"/>
  <sheetViews>
    <sheetView tabSelected="1" topLeftCell="AG1" workbookViewId="0">
      <selection activeCell="AQ6" sqref="AQ6"/>
    </sheetView>
  </sheetViews>
  <sheetFormatPr defaultRowHeight="15" x14ac:dyDescent="0.25"/>
  <cols>
    <col min="1" max="1" width="34.28515625" bestFit="1" customWidth="1"/>
    <col min="2" max="2" width="56.28515625" bestFit="1" customWidth="1"/>
    <col min="3" max="3" width="32.85546875" bestFit="1" customWidth="1"/>
    <col min="4" max="4" width="28.7109375" bestFit="1" customWidth="1"/>
    <col min="5" max="5" width="22.5703125" bestFit="1" customWidth="1"/>
    <col min="6" max="6" width="21.140625" bestFit="1" customWidth="1"/>
    <col min="7" max="7" width="16.5703125" bestFit="1" customWidth="1"/>
    <col min="8" max="8" width="28.85546875" bestFit="1" customWidth="1"/>
    <col min="9" max="9" width="19.140625" bestFit="1" customWidth="1"/>
    <col min="10" max="10" width="28.42578125" bestFit="1" customWidth="1"/>
    <col min="11" max="11" width="20.5703125" bestFit="1" customWidth="1"/>
    <col min="12" max="12" width="8.140625" bestFit="1" customWidth="1"/>
    <col min="13" max="13" width="20.7109375" bestFit="1" customWidth="1"/>
    <col min="14" max="14" width="11.5703125" bestFit="1" customWidth="1"/>
    <col min="15" max="15" width="11" bestFit="1" customWidth="1"/>
    <col min="16" max="16" width="18.85546875" bestFit="1" customWidth="1"/>
    <col min="17" max="17" width="27.42578125" bestFit="1" customWidth="1"/>
    <col min="18" max="18" width="30.28515625" bestFit="1" customWidth="1"/>
    <col min="19" max="19" width="34.42578125" bestFit="1" customWidth="1"/>
    <col min="20" max="20" width="28.7109375" bestFit="1" customWidth="1"/>
    <col min="21" max="21" width="32.5703125" bestFit="1" customWidth="1"/>
    <col min="22" max="22" width="20.140625" bestFit="1" customWidth="1"/>
    <col min="23" max="23" width="19.140625" bestFit="1" customWidth="1"/>
    <col min="24" max="24" width="26.140625" bestFit="1" customWidth="1"/>
    <col min="25" max="25" width="28.5703125" bestFit="1" customWidth="1"/>
    <col min="26" max="26" width="13.7109375" bestFit="1" customWidth="1"/>
    <col min="27" max="27" width="18" bestFit="1" customWidth="1"/>
    <col min="28" max="28" width="28.140625" bestFit="1" customWidth="1"/>
    <col min="29" max="29" width="11" bestFit="1" customWidth="1"/>
    <col min="30" max="30" width="12.28515625" bestFit="1" customWidth="1"/>
    <col min="31" max="31" width="43.28515625" bestFit="1" customWidth="1"/>
    <col min="32" max="32" width="39.140625" bestFit="1" customWidth="1"/>
    <col min="33" max="33" width="23.85546875" bestFit="1" customWidth="1"/>
    <col min="34" max="34" width="6.42578125" bestFit="1" customWidth="1"/>
    <col min="35" max="35" width="10.5703125" bestFit="1" customWidth="1"/>
    <col min="36" max="36" width="12.140625" bestFit="1" customWidth="1"/>
    <col min="37" max="37" width="12.42578125" hidden="1" customWidth="1"/>
    <col min="38" max="38" width="23.140625" hidden="1" customWidth="1"/>
    <col min="39" max="39" width="12.42578125" hidden="1" customWidth="1"/>
    <col min="40" max="40" width="21.28515625" hidden="1" customWidth="1"/>
    <col min="41" max="41" width="20.85546875" hidden="1" customWidth="1"/>
    <col min="42" max="42" width="33.42578125" hidden="1" customWidth="1"/>
    <col min="43" max="43" width="70.5703125" bestFit="1" customWidth="1"/>
    <col min="44" max="44" width="17" bestFit="1" customWidth="1"/>
    <col min="45" max="45" width="32.85546875" bestFit="1" customWidth="1"/>
    <col min="46" max="46" width="16.42578125" bestFit="1" customWidth="1"/>
    <col min="47" max="47" width="13.140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1348</v>
      </c>
      <c r="AR1" t="s">
        <v>1349</v>
      </c>
      <c r="AS1" t="s">
        <v>1350</v>
      </c>
      <c r="AT1" t="s">
        <v>1352</v>
      </c>
      <c r="AU1" t="s">
        <v>1351</v>
      </c>
    </row>
    <row r="2" spans="1:47" x14ac:dyDescent="0.25">
      <c r="B2" t="s">
        <v>42</v>
      </c>
      <c r="C2" t="s">
        <v>43</v>
      </c>
      <c r="D2" t="s">
        <v>44</v>
      </c>
      <c r="E2" t="s">
        <v>45</v>
      </c>
      <c r="F2">
        <v>1</v>
      </c>
      <c r="G2" t="s">
        <v>46</v>
      </c>
      <c r="H2" s="1">
        <v>45354</v>
      </c>
      <c r="I2" s="1">
        <v>44815</v>
      </c>
      <c r="J2" s="1">
        <v>44815</v>
      </c>
      <c r="K2" t="s">
        <v>47</v>
      </c>
      <c r="L2" t="s">
        <v>48</v>
      </c>
      <c r="M2" t="s">
        <v>47</v>
      </c>
      <c r="N2" s="1">
        <v>43661</v>
      </c>
      <c r="O2" s="1">
        <v>44815</v>
      </c>
      <c r="P2" t="s">
        <v>49</v>
      </c>
      <c r="Q2" t="s">
        <v>47</v>
      </c>
      <c r="R2" t="s">
        <v>47</v>
      </c>
      <c r="S2" t="s">
        <v>47</v>
      </c>
      <c r="V2" t="s">
        <v>47</v>
      </c>
      <c r="W2" t="s">
        <v>50</v>
      </c>
      <c r="X2" s="1">
        <v>44850</v>
      </c>
      <c r="Y2" t="s">
        <v>51</v>
      </c>
      <c r="Z2" s="1">
        <v>46007</v>
      </c>
      <c r="AA2" t="s">
        <v>50</v>
      </c>
      <c r="AB2" t="s">
        <v>52</v>
      </c>
      <c r="AC2" s="2">
        <v>0.15</v>
      </c>
      <c r="AD2" t="s">
        <v>53</v>
      </c>
      <c r="AE2" t="s">
        <v>54</v>
      </c>
      <c r="AG2" t="s">
        <v>55</v>
      </c>
      <c r="AH2" t="s">
        <v>56</v>
      </c>
      <c r="AI2">
        <v>30045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Q2" t="str">
        <f>AE2&amp;", "&amp;AG2&amp;", "&amp;AH2&amp;", "&amp;AI2&amp;", "&amp;AJ2</f>
        <v>1122 balvaird dr, Lawrenceville, GA, 30045, Ã‰tats-Unis</v>
      </c>
      <c r="AR2" t="str">
        <f>IF(UPPER(AJ2)="FRANCE","French Client","International Client")</f>
        <v>International Client</v>
      </c>
      <c r="AS2" t="s">
        <v>43</v>
      </c>
      <c r="AT2">
        <v>38220</v>
      </c>
      <c r="AU2" t="str">
        <f>IF(AT2=0,"Low Client",IF(AT2&lt;=50000,"Medium Client","High Client"))</f>
        <v>Medium Client</v>
      </c>
    </row>
    <row r="3" spans="1:47" x14ac:dyDescent="0.25">
      <c r="B3" t="s">
        <v>63</v>
      </c>
      <c r="C3" t="s">
        <v>64</v>
      </c>
      <c r="D3" t="s">
        <v>65</v>
      </c>
      <c r="E3" t="s">
        <v>46</v>
      </c>
      <c r="F3">
        <v>0</v>
      </c>
      <c r="G3" t="s">
        <v>66</v>
      </c>
      <c r="H3" s="1">
        <v>44952</v>
      </c>
      <c r="I3" t="s">
        <v>47</v>
      </c>
      <c r="J3" t="s">
        <v>47</v>
      </c>
      <c r="K3" t="s">
        <v>47</v>
      </c>
      <c r="L3" t="s">
        <v>48</v>
      </c>
      <c r="M3" t="s">
        <v>47</v>
      </c>
      <c r="N3" s="1">
        <v>44446</v>
      </c>
      <c r="O3" s="1">
        <v>44907</v>
      </c>
      <c r="P3" t="s">
        <v>46</v>
      </c>
      <c r="Q3" t="s">
        <v>47</v>
      </c>
      <c r="R3" t="s">
        <v>47</v>
      </c>
      <c r="S3" t="s">
        <v>47</v>
      </c>
      <c r="T3" t="s">
        <v>67</v>
      </c>
      <c r="U3" t="s">
        <v>68</v>
      </c>
      <c r="V3" t="s">
        <v>47</v>
      </c>
      <c r="W3" t="s">
        <v>50</v>
      </c>
      <c r="X3" t="s">
        <v>47</v>
      </c>
      <c r="Y3" t="s">
        <v>51</v>
      </c>
      <c r="Z3" s="1">
        <v>46007</v>
      </c>
      <c r="AA3" t="s">
        <v>50</v>
      </c>
      <c r="AB3" t="s">
        <v>52</v>
      </c>
      <c r="AC3" s="2">
        <v>0.15</v>
      </c>
      <c r="AD3" t="s">
        <v>53</v>
      </c>
      <c r="AE3" t="s">
        <v>69</v>
      </c>
      <c r="AG3" t="s">
        <v>70</v>
      </c>
      <c r="AI3">
        <v>36400</v>
      </c>
      <c r="AJ3" t="s">
        <v>71</v>
      </c>
      <c r="AK3" t="s">
        <v>72</v>
      </c>
      <c r="AL3" t="s">
        <v>59</v>
      </c>
      <c r="AN3" t="s">
        <v>73</v>
      </c>
      <c r="AO3" t="s">
        <v>62</v>
      </c>
      <c r="AQ3" t="s">
        <v>1358</v>
      </c>
      <c r="AR3" t="str">
        <f t="shared" ref="AR3:AR66" si="0">IF(UPPER(AJ3)="FRANCE","French Client","International Client")</f>
        <v>International Client</v>
      </c>
      <c r="AS3" t="s">
        <v>64</v>
      </c>
      <c r="AT3">
        <v>0</v>
      </c>
      <c r="AU3" t="str">
        <f t="shared" ref="AU3:AU66" si="1">IF(AT3=0,"Low Client",IF(AT3&lt;=50000,"Medium Client","High Client"))</f>
        <v>Low Client</v>
      </c>
    </row>
    <row r="4" spans="1:47" x14ac:dyDescent="0.25">
      <c r="B4" t="s">
        <v>74</v>
      </c>
      <c r="C4" t="s">
        <v>75</v>
      </c>
      <c r="D4" t="s">
        <v>76</v>
      </c>
      <c r="E4" t="s">
        <v>77</v>
      </c>
      <c r="F4">
        <v>2</v>
      </c>
      <c r="G4" t="s">
        <v>78</v>
      </c>
      <c r="H4" s="1">
        <v>44779</v>
      </c>
      <c r="I4" s="1">
        <v>44642</v>
      </c>
      <c r="J4" s="1">
        <v>44564</v>
      </c>
      <c r="K4" t="s">
        <v>47</v>
      </c>
      <c r="L4" t="s">
        <v>48</v>
      </c>
      <c r="M4" t="s">
        <v>47</v>
      </c>
      <c r="N4" s="1">
        <v>43845</v>
      </c>
      <c r="O4" s="1">
        <v>44564</v>
      </c>
      <c r="P4" t="s">
        <v>49</v>
      </c>
      <c r="Q4" t="s">
        <v>47</v>
      </c>
      <c r="R4" t="s">
        <v>47</v>
      </c>
      <c r="S4" t="s">
        <v>47</v>
      </c>
      <c r="V4" t="s">
        <v>47</v>
      </c>
      <c r="W4" t="s">
        <v>50</v>
      </c>
      <c r="X4" s="1">
        <v>44686</v>
      </c>
      <c r="Y4" t="s">
        <v>51</v>
      </c>
      <c r="Z4" s="1">
        <v>46007</v>
      </c>
      <c r="AA4" t="s">
        <v>50</v>
      </c>
      <c r="AB4" t="s">
        <v>52</v>
      </c>
      <c r="AC4" s="2">
        <v>0.15</v>
      </c>
      <c r="AD4" t="s">
        <v>53</v>
      </c>
      <c r="AE4" t="s">
        <v>79</v>
      </c>
      <c r="AG4" t="s">
        <v>80</v>
      </c>
      <c r="AH4" t="s">
        <v>81</v>
      </c>
      <c r="AI4">
        <v>11229</v>
      </c>
      <c r="AJ4" t="s">
        <v>57</v>
      </c>
      <c r="AK4" t="s">
        <v>58</v>
      </c>
      <c r="AL4" t="s">
        <v>59</v>
      </c>
      <c r="AM4" t="s">
        <v>60</v>
      </c>
      <c r="AN4" t="s">
        <v>61</v>
      </c>
      <c r="AO4" t="s">
        <v>62</v>
      </c>
      <c r="AQ4" t="str">
        <f t="shared" ref="AQ4:AQ66" si="2">AE4&amp;", "&amp;AG4&amp;", "&amp;AH4&amp;", "&amp;AI4&amp;", "&amp;AJ4</f>
        <v>1926 Kings Highway, Brooklyn, NY, 11229, Ã‰tats-Unis</v>
      </c>
      <c r="AR4" t="str">
        <f t="shared" si="0"/>
        <v>International Client</v>
      </c>
      <c r="AS4" t="s">
        <v>75</v>
      </c>
      <c r="AT4">
        <v>34868</v>
      </c>
      <c r="AU4" t="str">
        <f t="shared" si="1"/>
        <v>Medium Client</v>
      </c>
    </row>
    <row r="5" spans="1:47" x14ac:dyDescent="0.25">
      <c r="B5" t="s">
        <v>82</v>
      </c>
      <c r="C5" t="s">
        <v>75</v>
      </c>
      <c r="D5" t="s">
        <v>83</v>
      </c>
      <c r="E5" t="s">
        <v>84</v>
      </c>
      <c r="F5">
        <v>4</v>
      </c>
      <c r="G5" t="s">
        <v>46</v>
      </c>
      <c r="H5" s="1">
        <v>45259</v>
      </c>
      <c r="I5" s="1">
        <v>45027</v>
      </c>
      <c r="J5" s="1">
        <v>45001</v>
      </c>
      <c r="K5" t="s">
        <v>47</v>
      </c>
      <c r="L5" t="s">
        <v>48</v>
      </c>
      <c r="M5" t="s">
        <v>47</v>
      </c>
      <c r="N5" s="1">
        <v>44707</v>
      </c>
      <c r="O5" s="1">
        <v>45001</v>
      </c>
      <c r="P5" t="s">
        <v>46</v>
      </c>
      <c r="Q5" t="s">
        <v>47</v>
      </c>
      <c r="R5" t="s">
        <v>47</v>
      </c>
      <c r="S5" t="s">
        <v>47</v>
      </c>
      <c r="V5" t="s">
        <v>47</v>
      </c>
      <c r="W5" t="s">
        <v>50</v>
      </c>
      <c r="X5" s="1">
        <v>45066</v>
      </c>
      <c r="Y5" t="s">
        <v>51</v>
      </c>
      <c r="Z5" s="1">
        <v>46007</v>
      </c>
      <c r="AA5" t="s">
        <v>50</v>
      </c>
      <c r="AB5" t="s">
        <v>52</v>
      </c>
      <c r="AC5" s="2">
        <v>0.15</v>
      </c>
      <c r="AD5" t="s">
        <v>53</v>
      </c>
      <c r="AE5" t="s">
        <v>85</v>
      </c>
      <c r="AG5" t="s">
        <v>86</v>
      </c>
      <c r="AI5">
        <v>24200</v>
      </c>
      <c r="AJ5" t="s">
        <v>87</v>
      </c>
      <c r="AK5" t="s">
        <v>88</v>
      </c>
      <c r="AL5" t="s">
        <v>59</v>
      </c>
      <c r="AM5" t="s">
        <v>60</v>
      </c>
      <c r="AN5" t="s">
        <v>61</v>
      </c>
      <c r="AO5" t="s">
        <v>62</v>
      </c>
      <c r="AQ5" t="str">
        <f t="shared" si="2"/>
        <v>1 avenue Aristide Briand, Sarlat la CanÃ©da, , 24200, France</v>
      </c>
      <c r="AR5" t="str">
        <f t="shared" si="0"/>
        <v>French Client</v>
      </c>
      <c r="AS5" t="s">
        <v>75</v>
      </c>
      <c r="AT5">
        <v>68922</v>
      </c>
      <c r="AU5" t="str">
        <f t="shared" si="1"/>
        <v>High Client</v>
      </c>
    </row>
    <row r="6" spans="1:47" x14ac:dyDescent="0.25">
      <c r="B6" t="s">
        <v>89</v>
      </c>
      <c r="C6" t="s">
        <v>90</v>
      </c>
      <c r="D6" t="s">
        <v>91</v>
      </c>
      <c r="E6" t="s">
        <v>92</v>
      </c>
      <c r="F6">
        <v>1</v>
      </c>
      <c r="G6" t="s">
        <v>49</v>
      </c>
      <c r="H6" t="s">
        <v>47</v>
      </c>
      <c r="I6" s="1">
        <v>45845</v>
      </c>
      <c r="J6" s="1">
        <v>45845</v>
      </c>
      <c r="K6" t="s">
        <v>47</v>
      </c>
      <c r="L6" t="s">
        <v>48</v>
      </c>
      <c r="M6" t="s">
        <v>47</v>
      </c>
      <c r="N6" s="1">
        <v>45207</v>
      </c>
      <c r="O6" s="1">
        <v>45845</v>
      </c>
      <c r="P6" t="s">
        <v>46</v>
      </c>
      <c r="Q6" t="s">
        <v>47</v>
      </c>
      <c r="R6" t="s">
        <v>47</v>
      </c>
      <c r="S6" t="s">
        <v>47</v>
      </c>
      <c r="T6" t="s">
        <v>67</v>
      </c>
      <c r="U6" t="s">
        <v>93</v>
      </c>
      <c r="V6" t="s">
        <v>47</v>
      </c>
      <c r="W6" t="s">
        <v>50</v>
      </c>
      <c r="X6" s="1">
        <v>45852</v>
      </c>
      <c r="Y6" t="s">
        <v>51</v>
      </c>
      <c r="Z6" s="1">
        <v>46007</v>
      </c>
      <c r="AA6" t="s">
        <v>50</v>
      </c>
      <c r="AB6" t="s">
        <v>52</v>
      </c>
      <c r="AC6" s="2">
        <v>0.15</v>
      </c>
      <c r="AD6" t="s">
        <v>53</v>
      </c>
      <c r="AE6" t="s">
        <v>94</v>
      </c>
      <c r="AG6" t="s">
        <v>95</v>
      </c>
      <c r="AI6">
        <v>10138</v>
      </c>
      <c r="AJ6" t="s">
        <v>96</v>
      </c>
      <c r="AK6" t="s">
        <v>97</v>
      </c>
      <c r="AL6" t="s">
        <v>59</v>
      </c>
      <c r="AM6" t="s">
        <v>98</v>
      </c>
      <c r="AN6" t="s">
        <v>61</v>
      </c>
      <c r="AO6" t="s">
        <v>62</v>
      </c>
      <c r="AQ6" t="str">
        <f t="shared" si="2"/>
        <v>51 Via Principi d'Acaja, Torino, , 10138, Italie</v>
      </c>
      <c r="AR6" t="str">
        <f t="shared" si="0"/>
        <v>International Client</v>
      </c>
      <c r="AS6" t="s">
        <v>90</v>
      </c>
      <c r="AT6">
        <v>30306</v>
      </c>
      <c r="AU6" t="str">
        <f t="shared" si="1"/>
        <v>Medium Client</v>
      </c>
    </row>
    <row r="7" spans="1:47" x14ac:dyDescent="0.25">
      <c r="B7" t="s">
        <v>99</v>
      </c>
      <c r="C7" t="s">
        <v>75</v>
      </c>
      <c r="D7" t="s">
        <v>99</v>
      </c>
      <c r="E7" t="s">
        <v>100</v>
      </c>
      <c r="F7">
        <v>16</v>
      </c>
      <c r="G7" t="s">
        <v>46</v>
      </c>
      <c r="H7" s="1">
        <v>45943</v>
      </c>
      <c r="I7" s="1">
        <v>45943</v>
      </c>
      <c r="J7" s="1">
        <v>45189</v>
      </c>
      <c r="K7" s="1">
        <v>45217</v>
      </c>
      <c r="L7" t="s">
        <v>48</v>
      </c>
      <c r="M7" t="s">
        <v>47</v>
      </c>
      <c r="N7" s="1">
        <v>44432</v>
      </c>
      <c r="O7" s="1">
        <v>45189</v>
      </c>
      <c r="P7" t="s">
        <v>101</v>
      </c>
      <c r="Q7" t="s">
        <v>47</v>
      </c>
      <c r="R7" t="s">
        <v>47</v>
      </c>
      <c r="S7" t="s">
        <v>47</v>
      </c>
      <c r="T7" t="s">
        <v>67</v>
      </c>
      <c r="V7" t="s">
        <v>47</v>
      </c>
      <c r="W7" t="s">
        <v>50</v>
      </c>
      <c r="X7" s="1">
        <v>45952</v>
      </c>
      <c r="Y7" t="s">
        <v>51</v>
      </c>
      <c r="Z7" s="1">
        <v>46007</v>
      </c>
      <c r="AA7" t="s">
        <v>50</v>
      </c>
      <c r="AB7" t="s">
        <v>52</v>
      </c>
      <c r="AC7" s="2">
        <v>0.15</v>
      </c>
      <c r="AD7" t="s">
        <v>53</v>
      </c>
      <c r="AE7" t="s">
        <v>102</v>
      </c>
      <c r="AG7" t="s">
        <v>103</v>
      </c>
      <c r="AI7">
        <v>4626</v>
      </c>
      <c r="AJ7" t="s">
        <v>104</v>
      </c>
      <c r="AK7" t="s">
        <v>58</v>
      </c>
      <c r="AL7" t="s">
        <v>59</v>
      </c>
      <c r="AM7" t="s">
        <v>60</v>
      </c>
      <c r="AN7" t="s">
        <v>61</v>
      </c>
      <c r="AO7" t="s">
        <v>62</v>
      </c>
      <c r="AQ7" t="str">
        <f t="shared" si="2"/>
        <v>Rigedalen 41, Kristiansand, , 4626, NorvÃ¨ge</v>
      </c>
      <c r="AR7" t="str">
        <f t="shared" si="0"/>
        <v>International Client</v>
      </c>
      <c r="AS7" t="s">
        <v>75</v>
      </c>
      <c r="AT7">
        <v>1703676</v>
      </c>
      <c r="AU7" t="str">
        <f t="shared" si="1"/>
        <v>High Client</v>
      </c>
    </row>
    <row r="8" spans="1:47" x14ac:dyDescent="0.25">
      <c r="B8" t="s">
        <v>105</v>
      </c>
      <c r="C8" t="s">
        <v>90</v>
      </c>
      <c r="D8" t="s">
        <v>106</v>
      </c>
      <c r="E8" t="s">
        <v>107</v>
      </c>
      <c r="F8">
        <v>1</v>
      </c>
      <c r="G8" t="s">
        <v>46</v>
      </c>
      <c r="H8" t="s">
        <v>47</v>
      </c>
      <c r="I8" s="1">
        <v>45351</v>
      </c>
      <c r="J8" s="1">
        <v>45351</v>
      </c>
      <c r="K8" t="s">
        <v>47</v>
      </c>
      <c r="L8" t="s">
        <v>48</v>
      </c>
      <c r="M8" t="s">
        <v>47</v>
      </c>
      <c r="N8" s="1">
        <v>44329</v>
      </c>
      <c r="O8" s="1">
        <v>45351</v>
      </c>
      <c r="P8" t="s">
        <v>46</v>
      </c>
      <c r="Q8" t="s">
        <v>47</v>
      </c>
      <c r="R8" t="s">
        <v>47</v>
      </c>
      <c r="S8" t="s">
        <v>47</v>
      </c>
      <c r="V8" t="s">
        <v>47</v>
      </c>
      <c r="W8" t="s">
        <v>50</v>
      </c>
      <c r="X8" s="1">
        <v>45387</v>
      </c>
      <c r="Y8" t="s">
        <v>51</v>
      </c>
      <c r="Z8" s="1">
        <v>46007</v>
      </c>
      <c r="AA8" t="s">
        <v>50</v>
      </c>
      <c r="AB8" t="s">
        <v>52</v>
      </c>
      <c r="AC8" s="2">
        <v>0.15</v>
      </c>
      <c r="AD8" t="s">
        <v>53</v>
      </c>
      <c r="AE8" t="s">
        <v>108</v>
      </c>
      <c r="AG8" t="s">
        <v>109</v>
      </c>
      <c r="AI8">
        <v>47110</v>
      </c>
      <c r="AJ8" t="s">
        <v>87</v>
      </c>
      <c r="AK8" t="s">
        <v>88</v>
      </c>
      <c r="AL8" t="s">
        <v>59</v>
      </c>
      <c r="AM8" t="s">
        <v>60</v>
      </c>
      <c r="AN8" t="s">
        <v>61</v>
      </c>
      <c r="AO8" t="s">
        <v>62</v>
      </c>
      <c r="AQ8" t="str">
        <f t="shared" si="2"/>
        <v>D911, Le Temple-sur-Lot, , 47110, France</v>
      </c>
      <c r="AR8" t="str">
        <f t="shared" si="0"/>
        <v>French Client</v>
      </c>
      <c r="AS8" t="s">
        <v>90</v>
      </c>
      <c r="AT8">
        <v>38176</v>
      </c>
      <c r="AU8" t="str">
        <f t="shared" si="1"/>
        <v>Medium Client</v>
      </c>
    </row>
    <row r="9" spans="1:47" x14ac:dyDescent="0.25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>
        <v>5</v>
      </c>
      <c r="G9" t="s">
        <v>115</v>
      </c>
      <c r="H9" s="1">
        <v>46009</v>
      </c>
      <c r="I9" s="1">
        <v>45799</v>
      </c>
      <c r="J9" s="1">
        <v>45617</v>
      </c>
      <c r="K9" t="s">
        <v>47</v>
      </c>
      <c r="L9" t="s">
        <v>48</v>
      </c>
      <c r="M9" s="1">
        <v>45998</v>
      </c>
      <c r="N9" s="1">
        <v>45237</v>
      </c>
      <c r="O9" s="1">
        <v>45617</v>
      </c>
      <c r="P9" t="s">
        <v>46</v>
      </c>
      <c r="Q9" s="1">
        <v>45624</v>
      </c>
      <c r="R9" t="s">
        <v>47</v>
      </c>
      <c r="S9" s="1">
        <v>45982</v>
      </c>
      <c r="V9" t="s">
        <v>47</v>
      </c>
      <c r="W9" t="s">
        <v>116</v>
      </c>
      <c r="X9" s="1">
        <v>45810</v>
      </c>
      <c r="Y9" t="s">
        <v>51</v>
      </c>
      <c r="Z9" s="1">
        <v>46007</v>
      </c>
      <c r="AA9" t="s">
        <v>117</v>
      </c>
      <c r="AB9" t="s">
        <v>52</v>
      </c>
      <c r="AC9" s="2">
        <v>0</v>
      </c>
      <c r="AD9" t="s">
        <v>53</v>
      </c>
      <c r="AE9" t="s">
        <v>118</v>
      </c>
      <c r="AG9" t="s">
        <v>119</v>
      </c>
      <c r="AI9">
        <v>30310</v>
      </c>
      <c r="AJ9" t="s">
        <v>87</v>
      </c>
      <c r="AK9" t="s">
        <v>88</v>
      </c>
      <c r="AL9" t="s">
        <v>59</v>
      </c>
      <c r="AM9" t="s">
        <v>98</v>
      </c>
      <c r="AN9" t="s">
        <v>61</v>
      </c>
      <c r="AO9" t="s">
        <v>62</v>
      </c>
      <c r="AQ9" t="str">
        <f t="shared" si="2"/>
        <v>20 Rue du Fort, VergÃ¨ze, , 30310, France</v>
      </c>
      <c r="AR9" t="str">
        <f t="shared" si="0"/>
        <v>French Client</v>
      </c>
      <c r="AS9" t="s">
        <v>112</v>
      </c>
      <c r="AT9">
        <v>100780</v>
      </c>
      <c r="AU9" t="str">
        <f t="shared" si="1"/>
        <v>High Client</v>
      </c>
    </row>
    <row r="10" spans="1:47" x14ac:dyDescent="0.25">
      <c r="B10" t="s">
        <v>120</v>
      </c>
      <c r="C10" t="s">
        <v>64</v>
      </c>
      <c r="D10" t="s">
        <v>121</v>
      </c>
      <c r="E10" t="s">
        <v>122</v>
      </c>
      <c r="F10">
        <v>2</v>
      </c>
      <c r="G10" t="s">
        <v>46</v>
      </c>
      <c r="H10" s="1">
        <v>45966</v>
      </c>
      <c r="I10" s="1">
        <v>45966</v>
      </c>
      <c r="J10" s="1">
        <v>45964</v>
      </c>
      <c r="K10" s="1">
        <v>45971</v>
      </c>
      <c r="L10" t="s">
        <v>48</v>
      </c>
      <c r="M10" t="s">
        <v>47</v>
      </c>
      <c r="N10" s="1">
        <v>45434</v>
      </c>
      <c r="O10" s="1">
        <v>45964</v>
      </c>
      <c r="P10" t="s">
        <v>46</v>
      </c>
      <c r="Q10" t="s">
        <v>47</v>
      </c>
      <c r="R10" t="s">
        <v>47</v>
      </c>
      <c r="S10" t="s">
        <v>47</v>
      </c>
      <c r="T10" t="s">
        <v>67</v>
      </c>
      <c r="V10" t="s">
        <v>47</v>
      </c>
      <c r="W10" t="s">
        <v>50</v>
      </c>
      <c r="X10" s="1">
        <v>45978</v>
      </c>
      <c r="Y10" t="s">
        <v>51</v>
      </c>
      <c r="Z10" s="1">
        <v>46007</v>
      </c>
      <c r="AA10" t="s">
        <v>50</v>
      </c>
      <c r="AB10" t="s">
        <v>52</v>
      </c>
      <c r="AC10" s="2">
        <v>0.15</v>
      </c>
      <c r="AD10" t="s">
        <v>53</v>
      </c>
      <c r="AE10" t="s">
        <v>123</v>
      </c>
      <c r="AF10" t="s">
        <v>124</v>
      </c>
      <c r="AG10" t="s">
        <v>125</v>
      </c>
      <c r="AI10">
        <v>80160</v>
      </c>
      <c r="AJ10" t="s">
        <v>87</v>
      </c>
      <c r="AK10" t="s">
        <v>88</v>
      </c>
      <c r="AL10" t="s">
        <v>59</v>
      </c>
      <c r="AM10" t="s">
        <v>60</v>
      </c>
      <c r="AN10" t="s">
        <v>61</v>
      </c>
      <c r="AO10" t="s">
        <v>62</v>
      </c>
      <c r="AQ10" t="str">
        <f t="shared" si="2"/>
        <v>5 rue de l'enclos des rosiers, prouzel, , 80160, France</v>
      </c>
      <c r="AR10" t="str">
        <f t="shared" si="0"/>
        <v>French Client</v>
      </c>
      <c r="AS10" t="s">
        <v>64</v>
      </c>
      <c r="AT10">
        <v>61706</v>
      </c>
      <c r="AU10" t="str">
        <f t="shared" si="1"/>
        <v>High Client</v>
      </c>
    </row>
    <row r="11" spans="1:47" x14ac:dyDescent="0.25">
      <c r="B11" t="s">
        <v>126</v>
      </c>
      <c r="C11" t="s">
        <v>64</v>
      </c>
      <c r="D11" t="s">
        <v>127</v>
      </c>
      <c r="E11" t="s">
        <v>128</v>
      </c>
      <c r="F11">
        <v>1</v>
      </c>
      <c r="G11" t="s">
        <v>49</v>
      </c>
      <c r="H11" t="s">
        <v>47</v>
      </c>
      <c r="I11" s="1">
        <v>45816</v>
      </c>
      <c r="J11" s="1">
        <v>45816</v>
      </c>
      <c r="K11" t="s">
        <v>47</v>
      </c>
      <c r="L11" t="s">
        <v>48</v>
      </c>
      <c r="M11" t="s">
        <v>47</v>
      </c>
      <c r="N11" s="1">
        <v>44816</v>
      </c>
      <c r="O11" s="1">
        <v>45816</v>
      </c>
      <c r="P11" t="s">
        <v>46</v>
      </c>
      <c r="Q11" t="s">
        <v>47</v>
      </c>
      <c r="R11" t="s">
        <v>47</v>
      </c>
      <c r="S11" t="s">
        <v>47</v>
      </c>
      <c r="V11" t="s">
        <v>47</v>
      </c>
      <c r="W11" t="s">
        <v>50</v>
      </c>
      <c r="X11" s="1">
        <v>45824</v>
      </c>
      <c r="Y11" t="s">
        <v>51</v>
      </c>
      <c r="Z11" s="1">
        <v>46007</v>
      </c>
      <c r="AA11" t="s">
        <v>50</v>
      </c>
      <c r="AB11" t="s">
        <v>52</v>
      </c>
      <c r="AC11" s="2">
        <v>0.15</v>
      </c>
      <c r="AD11" t="s">
        <v>53</v>
      </c>
      <c r="AE11" t="s">
        <v>129</v>
      </c>
      <c r="AG11" t="s">
        <v>130</v>
      </c>
      <c r="AI11">
        <v>72240</v>
      </c>
      <c r="AJ11" t="s">
        <v>87</v>
      </c>
      <c r="AK11" t="s">
        <v>88</v>
      </c>
      <c r="AL11" t="s">
        <v>59</v>
      </c>
      <c r="AM11" t="s">
        <v>60</v>
      </c>
      <c r="AN11" t="s">
        <v>61</v>
      </c>
      <c r="AO11" t="s">
        <v>62</v>
      </c>
      <c r="AQ11" t="str">
        <f t="shared" si="2"/>
        <v>16 Rue des Hirondelles, Conlie, , 72240, France</v>
      </c>
      <c r="AR11" t="str">
        <f t="shared" si="0"/>
        <v>French Client</v>
      </c>
      <c r="AS11" t="s">
        <v>64</v>
      </c>
      <c r="AT11">
        <v>15048</v>
      </c>
      <c r="AU11" t="str">
        <f t="shared" si="1"/>
        <v>Medium Client</v>
      </c>
    </row>
    <row r="12" spans="1:47" x14ac:dyDescent="0.25">
      <c r="B12" t="s">
        <v>131</v>
      </c>
      <c r="C12" t="s">
        <v>64</v>
      </c>
      <c r="D12" t="s">
        <v>132</v>
      </c>
      <c r="E12" t="s">
        <v>133</v>
      </c>
      <c r="F12">
        <v>2</v>
      </c>
      <c r="G12" t="s">
        <v>134</v>
      </c>
      <c r="H12" s="1">
        <v>45794</v>
      </c>
      <c r="I12" s="1">
        <v>45709</v>
      </c>
      <c r="J12" s="1">
        <v>45344</v>
      </c>
      <c r="K12" t="s">
        <v>47</v>
      </c>
      <c r="L12" t="s">
        <v>48</v>
      </c>
      <c r="M12" t="s">
        <v>47</v>
      </c>
      <c r="N12" s="1">
        <v>45031</v>
      </c>
      <c r="O12" s="1">
        <v>45344</v>
      </c>
      <c r="P12" t="s">
        <v>46</v>
      </c>
      <c r="Q12" t="s">
        <v>47</v>
      </c>
      <c r="R12" t="s">
        <v>47</v>
      </c>
      <c r="S12" t="s">
        <v>47</v>
      </c>
      <c r="V12" t="s">
        <v>47</v>
      </c>
      <c r="W12" t="s">
        <v>50</v>
      </c>
      <c r="X12" s="1">
        <v>45716</v>
      </c>
      <c r="Y12" t="s">
        <v>51</v>
      </c>
      <c r="Z12" s="1">
        <v>46007</v>
      </c>
      <c r="AA12" t="s">
        <v>50</v>
      </c>
      <c r="AB12" t="s">
        <v>52</v>
      </c>
      <c r="AC12" s="2">
        <v>0.15</v>
      </c>
      <c r="AD12" t="s">
        <v>53</v>
      </c>
      <c r="AE12" t="s">
        <v>135</v>
      </c>
      <c r="AG12" t="s">
        <v>136</v>
      </c>
      <c r="AI12">
        <v>45480</v>
      </c>
      <c r="AJ12" t="s">
        <v>87</v>
      </c>
      <c r="AK12" t="s">
        <v>88</v>
      </c>
      <c r="AL12" t="s">
        <v>137</v>
      </c>
      <c r="AM12" t="s">
        <v>60</v>
      </c>
      <c r="AN12" t="s">
        <v>61</v>
      </c>
      <c r="AO12" t="s">
        <v>62</v>
      </c>
      <c r="AQ12" t="s">
        <v>1353</v>
      </c>
      <c r="AR12" t="str">
        <f t="shared" si="0"/>
        <v>French Client</v>
      </c>
      <c r="AS12" t="s">
        <v>64</v>
      </c>
      <c r="AT12">
        <v>28314</v>
      </c>
      <c r="AU12" t="str">
        <f t="shared" si="1"/>
        <v>Medium Client</v>
      </c>
    </row>
    <row r="13" spans="1:47" x14ac:dyDescent="0.25">
      <c r="B13" t="s">
        <v>138</v>
      </c>
      <c r="C13" t="s">
        <v>64</v>
      </c>
      <c r="D13" t="s">
        <v>139</v>
      </c>
      <c r="E13" t="s">
        <v>140</v>
      </c>
      <c r="F13">
        <v>1</v>
      </c>
      <c r="G13" t="s">
        <v>49</v>
      </c>
      <c r="H13" t="s">
        <v>47</v>
      </c>
      <c r="I13" s="1">
        <v>45996</v>
      </c>
      <c r="J13" s="1">
        <v>45996</v>
      </c>
      <c r="K13" s="1">
        <v>46003</v>
      </c>
      <c r="L13" t="s">
        <v>48</v>
      </c>
      <c r="M13" t="s">
        <v>47</v>
      </c>
      <c r="N13" s="1">
        <v>44329</v>
      </c>
      <c r="O13" s="1">
        <v>45996</v>
      </c>
      <c r="P13" t="s">
        <v>46</v>
      </c>
      <c r="Q13" t="s">
        <v>47</v>
      </c>
      <c r="R13" t="s">
        <v>47</v>
      </c>
      <c r="S13" t="s">
        <v>47</v>
      </c>
      <c r="V13" t="s">
        <v>47</v>
      </c>
      <c r="W13" t="s">
        <v>50</v>
      </c>
      <c r="X13" s="1">
        <v>46003</v>
      </c>
      <c r="Y13" t="s">
        <v>51</v>
      </c>
      <c r="Z13" s="1">
        <v>46008</v>
      </c>
      <c r="AA13" t="s">
        <v>50</v>
      </c>
      <c r="AB13" t="s">
        <v>52</v>
      </c>
      <c r="AC13" s="2">
        <v>0.15</v>
      </c>
      <c r="AD13" t="s">
        <v>53</v>
      </c>
      <c r="AE13" t="s">
        <v>141</v>
      </c>
      <c r="AG13" t="s">
        <v>142</v>
      </c>
      <c r="AI13">
        <v>81000</v>
      </c>
      <c r="AJ13" t="s">
        <v>87</v>
      </c>
      <c r="AK13" t="s">
        <v>88</v>
      </c>
      <c r="AL13" t="s">
        <v>59</v>
      </c>
      <c r="AM13" t="s">
        <v>60</v>
      </c>
      <c r="AN13" t="s">
        <v>61</v>
      </c>
      <c r="AO13" t="s">
        <v>62</v>
      </c>
      <c r="AQ13" t="str">
        <f t="shared" si="2"/>
        <v>124 Avenue Gambetta, Albi, , 81000, France</v>
      </c>
      <c r="AR13" t="str">
        <f t="shared" si="0"/>
        <v>French Client</v>
      </c>
      <c r="AS13" t="s">
        <v>64</v>
      </c>
      <c r="AT13">
        <v>29040</v>
      </c>
      <c r="AU13" t="str">
        <f t="shared" si="1"/>
        <v>Medium Client</v>
      </c>
    </row>
    <row r="14" spans="1:47" x14ac:dyDescent="0.25">
      <c r="B14" t="s">
        <v>143</v>
      </c>
      <c r="C14" t="s">
        <v>64</v>
      </c>
      <c r="D14" t="s">
        <v>144</v>
      </c>
      <c r="E14" t="s">
        <v>145</v>
      </c>
      <c r="F14">
        <v>1</v>
      </c>
      <c r="G14" t="s">
        <v>46</v>
      </c>
      <c r="H14" s="1">
        <v>45968</v>
      </c>
      <c r="I14" s="1">
        <v>44761</v>
      </c>
      <c r="J14" s="1">
        <v>44761</v>
      </c>
      <c r="K14" t="s">
        <v>47</v>
      </c>
      <c r="L14" t="s">
        <v>48</v>
      </c>
      <c r="M14" t="s">
        <v>47</v>
      </c>
      <c r="N14" s="1">
        <v>44588</v>
      </c>
      <c r="O14" s="1">
        <v>44761</v>
      </c>
      <c r="P14" t="s">
        <v>46</v>
      </c>
      <c r="Q14" t="s">
        <v>47</v>
      </c>
      <c r="R14" t="s">
        <v>47</v>
      </c>
      <c r="S14" t="s">
        <v>47</v>
      </c>
      <c r="V14" t="s">
        <v>47</v>
      </c>
      <c r="W14" t="s">
        <v>50</v>
      </c>
      <c r="X14" s="1">
        <v>44807</v>
      </c>
      <c r="Y14" t="s">
        <v>51</v>
      </c>
      <c r="Z14" s="1">
        <v>46007</v>
      </c>
      <c r="AA14" t="s">
        <v>50</v>
      </c>
      <c r="AB14" t="s">
        <v>52</v>
      </c>
      <c r="AC14" s="2">
        <v>0.15</v>
      </c>
      <c r="AD14" t="s">
        <v>53</v>
      </c>
      <c r="AE14" t="s">
        <v>146</v>
      </c>
      <c r="AG14" t="s">
        <v>147</v>
      </c>
      <c r="AI14">
        <v>71120</v>
      </c>
      <c r="AJ14" t="s">
        <v>87</v>
      </c>
      <c r="AK14" t="s">
        <v>88</v>
      </c>
      <c r="AL14" t="s">
        <v>59</v>
      </c>
      <c r="AM14" t="s">
        <v>60</v>
      </c>
      <c r="AN14" t="s">
        <v>61</v>
      </c>
      <c r="AO14" t="s">
        <v>62</v>
      </c>
      <c r="AQ14" t="str">
        <f t="shared" si="2"/>
        <v>344 rue de Montot, Vaudebarrier, , 71120, France</v>
      </c>
      <c r="AR14" t="str">
        <f t="shared" si="0"/>
        <v>French Client</v>
      </c>
      <c r="AS14" t="s">
        <v>64</v>
      </c>
      <c r="AT14">
        <v>53676</v>
      </c>
      <c r="AU14" t="str">
        <f t="shared" si="1"/>
        <v>High Client</v>
      </c>
    </row>
    <row r="15" spans="1:47" x14ac:dyDescent="0.25">
      <c r="B15" t="s">
        <v>148</v>
      </c>
      <c r="C15" t="s">
        <v>64</v>
      </c>
      <c r="D15" t="s">
        <v>149</v>
      </c>
      <c r="E15" t="s">
        <v>150</v>
      </c>
      <c r="F15">
        <v>1</v>
      </c>
      <c r="G15" t="s">
        <v>46</v>
      </c>
      <c r="H15" t="s">
        <v>47</v>
      </c>
      <c r="I15" s="1">
        <v>44548</v>
      </c>
      <c r="J15" s="1">
        <v>44548</v>
      </c>
      <c r="K15" t="s">
        <v>47</v>
      </c>
      <c r="L15" t="s">
        <v>48</v>
      </c>
      <c r="M15" t="s">
        <v>47</v>
      </c>
      <c r="N15" s="1">
        <v>44545</v>
      </c>
      <c r="O15" s="1">
        <v>44548</v>
      </c>
      <c r="P15" t="s">
        <v>46</v>
      </c>
      <c r="Q15" t="s">
        <v>47</v>
      </c>
      <c r="R15" t="s">
        <v>47</v>
      </c>
      <c r="S15" t="s">
        <v>47</v>
      </c>
      <c r="V15" t="s">
        <v>47</v>
      </c>
      <c r="W15" t="s">
        <v>50</v>
      </c>
      <c r="X15" s="1">
        <v>44567</v>
      </c>
      <c r="Y15" t="s">
        <v>51</v>
      </c>
      <c r="Z15" s="1">
        <v>46007</v>
      </c>
      <c r="AA15" t="s">
        <v>50</v>
      </c>
      <c r="AB15" t="s">
        <v>52</v>
      </c>
      <c r="AC15" s="2">
        <v>0.15</v>
      </c>
      <c r="AD15" t="s">
        <v>53</v>
      </c>
      <c r="AE15" t="s">
        <v>151</v>
      </c>
      <c r="AG15" t="s">
        <v>152</v>
      </c>
      <c r="AI15">
        <v>13560</v>
      </c>
      <c r="AJ15" t="s">
        <v>87</v>
      </c>
      <c r="AK15" t="s">
        <v>88</v>
      </c>
      <c r="AL15" t="s">
        <v>59</v>
      </c>
      <c r="AM15" t="s">
        <v>60</v>
      </c>
      <c r="AN15" t="s">
        <v>61</v>
      </c>
      <c r="AO15" t="s">
        <v>62</v>
      </c>
      <c r="AQ15" t="str">
        <f t="shared" si="2"/>
        <v>cours jean jaures, SÃ©nas, , 13560, France</v>
      </c>
      <c r="AR15" t="str">
        <f t="shared" si="0"/>
        <v>French Client</v>
      </c>
      <c r="AS15" t="s">
        <v>64</v>
      </c>
      <c r="AT15">
        <v>23034</v>
      </c>
      <c r="AU15" t="str">
        <f t="shared" si="1"/>
        <v>Medium Client</v>
      </c>
    </row>
    <row r="16" spans="1:47" x14ac:dyDescent="0.25">
      <c r="B16" t="s">
        <v>153</v>
      </c>
      <c r="C16" t="s">
        <v>112</v>
      </c>
      <c r="D16" t="s">
        <v>154</v>
      </c>
      <c r="E16" t="s">
        <v>155</v>
      </c>
      <c r="F16">
        <v>2</v>
      </c>
      <c r="G16" t="s">
        <v>156</v>
      </c>
      <c r="H16" s="1">
        <v>45986</v>
      </c>
      <c r="I16" s="1">
        <v>45835</v>
      </c>
      <c r="J16" s="1">
        <v>45756</v>
      </c>
      <c r="K16" t="s">
        <v>47</v>
      </c>
      <c r="L16" t="s">
        <v>48</v>
      </c>
      <c r="M16" t="s">
        <v>47</v>
      </c>
      <c r="N16" s="1">
        <v>44734</v>
      </c>
      <c r="O16" s="1">
        <v>45756</v>
      </c>
      <c r="P16" t="s">
        <v>46</v>
      </c>
      <c r="Q16" t="s">
        <v>47</v>
      </c>
      <c r="R16" t="s">
        <v>47</v>
      </c>
      <c r="S16" t="s">
        <v>47</v>
      </c>
      <c r="V16" t="s">
        <v>47</v>
      </c>
      <c r="W16" t="s">
        <v>50</v>
      </c>
      <c r="X16" s="1">
        <v>45841</v>
      </c>
      <c r="Y16" t="s">
        <v>51</v>
      </c>
      <c r="Z16" t="s">
        <v>47</v>
      </c>
      <c r="AA16" t="s">
        <v>50</v>
      </c>
      <c r="AB16" t="s">
        <v>52</v>
      </c>
      <c r="AC16" s="2">
        <v>0.15</v>
      </c>
      <c r="AD16" t="s">
        <v>53</v>
      </c>
      <c r="AE16" t="s">
        <v>157</v>
      </c>
      <c r="AG16" t="s">
        <v>158</v>
      </c>
      <c r="AI16">
        <v>4100</v>
      </c>
      <c r="AJ16" t="s">
        <v>87</v>
      </c>
      <c r="AK16" t="s">
        <v>88</v>
      </c>
      <c r="AL16" t="s">
        <v>137</v>
      </c>
      <c r="AM16" t="s">
        <v>60</v>
      </c>
      <c r="AN16" t="s">
        <v>61</v>
      </c>
      <c r="AO16" t="s">
        <v>62</v>
      </c>
      <c r="AQ16" t="str">
        <f t="shared" si="2"/>
        <v>341 Avenue du Moulin Neuf, Manosque, , 4100, France</v>
      </c>
      <c r="AR16" t="str">
        <f t="shared" si="0"/>
        <v>French Client</v>
      </c>
      <c r="AS16" t="s">
        <v>112</v>
      </c>
      <c r="AT16">
        <v>31692</v>
      </c>
      <c r="AU16" t="str">
        <f t="shared" si="1"/>
        <v>Medium Client</v>
      </c>
    </row>
    <row r="17" spans="1:47" x14ac:dyDescent="0.25">
      <c r="B17" t="s">
        <v>159</v>
      </c>
      <c r="C17" t="s">
        <v>75</v>
      </c>
      <c r="D17" t="s">
        <v>160</v>
      </c>
      <c r="E17" t="s">
        <v>161</v>
      </c>
      <c r="F17">
        <v>6</v>
      </c>
      <c r="G17" t="s">
        <v>46</v>
      </c>
      <c r="H17" s="1">
        <v>45922</v>
      </c>
      <c r="I17" s="1">
        <v>45922</v>
      </c>
      <c r="J17" s="1">
        <v>45731</v>
      </c>
      <c r="K17" s="1">
        <v>45737</v>
      </c>
      <c r="L17" t="s">
        <v>48</v>
      </c>
      <c r="M17" t="s">
        <v>47</v>
      </c>
      <c r="N17" s="1">
        <v>45300</v>
      </c>
      <c r="O17" s="1">
        <v>45731</v>
      </c>
      <c r="P17" t="s">
        <v>46</v>
      </c>
      <c r="Q17" t="s">
        <v>47</v>
      </c>
      <c r="R17" t="s">
        <v>47</v>
      </c>
      <c r="S17" t="s">
        <v>47</v>
      </c>
      <c r="T17" t="s">
        <v>67</v>
      </c>
      <c r="U17" t="s">
        <v>93</v>
      </c>
      <c r="V17" t="s">
        <v>47</v>
      </c>
      <c r="W17" t="s">
        <v>50</v>
      </c>
      <c r="X17" s="1">
        <v>45929</v>
      </c>
      <c r="Y17" t="s">
        <v>51</v>
      </c>
      <c r="Z17" s="1">
        <v>46007</v>
      </c>
      <c r="AA17" t="s">
        <v>50</v>
      </c>
      <c r="AB17" t="s">
        <v>52</v>
      </c>
      <c r="AC17" s="2">
        <v>0.15</v>
      </c>
      <c r="AD17" t="s">
        <v>53</v>
      </c>
      <c r="AE17" t="s">
        <v>162</v>
      </c>
      <c r="AG17" t="s">
        <v>163</v>
      </c>
      <c r="AI17">
        <v>4671</v>
      </c>
      <c r="AJ17" t="s">
        <v>164</v>
      </c>
      <c r="AK17" t="s">
        <v>88</v>
      </c>
      <c r="AL17" t="s">
        <v>59</v>
      </c>
      <c r="AM17" t="s">
        <v>60</v>
      </c>
      <c r="AN17" t="s">
        <v>61</v>
      </c>
      <c r="AO17" t="s">
        <v>62</v>
      </c>
      <c r="AQ17" t="str">
        <f t="shared" si="2"/>
        <v>Rue de la paix nÂ°1, blegny, , 4671, Belgique</v>
      </c>
      <c r="AR17" t="str">
        <f t="shared" si="0"/>
        <v>International Client</v>
      </c>
      <c r="AS17" t="s">
        <v>75</v>
      </c>
      <c r="AT17">
        <v>304352</v>
      </c>
      <c r="AU17" t="str">
        <f t="shared" si="1"/>
        <v>High Client</v>
      </c>
    </row>
    <row r="18" spans="1:47" x14ac:dyDescent="0.25">
      <c r="B18" t="s">
        <v>165</v>
      </c>
      <c r="C18" t="s">
        <v>64</v>
      </c>
      <c r="D18" t="s">
        <v>166</v>
      </c>
      <c r="E18" t="s">
        <v>167</v>
      </c>
      <c r="F18">
        <v>2</v>
      </c>
      <c r="G18" t="s">
        <v>46</v>
      </c>
      <c r="H18" s="1">
        <v>45506</v>
      </c>
      <c r="I18" s="1">
        <v>44778</v>
      </c>
      <c r="J18" s="1">
        <v>44757</v>
      </c>
      <c r="K18" t="s">
        <v>47</v>
      </c>
      <c r="L18" t="s">
        <v>48</v>
      </c>
      <c r="M18" t="s">
        <v>47</v>
      </c>
      <c r="N18" s="1">
        <v>44652</v>
      </c>
      <c r="O18" s="1">
        <v>44757</v>
      </c>
      <c r="P18" t="s">
        <v>46</v>
      </c>
      <c r="Q18" t="s">
        <v>47</v>
      </c>
      <c r="R18" t="s">
        <v>47</v>
      </c>
      <c r="S18" t="s">
        <v>47</v>
      </c>
      <c r="T18" t="s">
        <v>67</v>
      </c>
      <c r="V18" t="s">
        <v>47</v>
      </c>
      <c r="W18" t="s">
        <v>50</v>
      </c>
      <c r="X18" s="1">
        <v>44820</v>
      </c>
      <c r="Y18" t="s">
        <v>51</v>
      </c>
      <c r="Z18" s="1">
        <v>46007</v>
      </c>
      <c r="AA18" t="s">
        <v>50</v>
      </c>
      <c r="AB18" t="s">
        <v>52</v>
      </c>
      <c r="AC18" s="2">
        <v>0.15</v>
      </c>
      <c r="AD18" t="s">
        <v>53</v>
      </c>
      <c r="AE18" t="s">
        <v>168</v>
      </c>
      <c r="AG18" t="s">
        <v>169</v>
      </c>
      <c r="AI18">
        <v>25480</v>
      </c>
      <c r="AJ18" t="s">
        <v>87</v>
      </c>
      <c r="AK18" t="s">
        <v>88</v>
      </c>
      <c r="AL18" t="s">
        <v>59</v>
      </c>
      <c r="AM18" t="s">
        <v>60</v>
      </c>
      <c r="AN18" t="s">
        <v>61</v>
      </c>
      <c r="AO18" t="s">
        <v>62</v>
      </c>
      <c r="AQ18" t="str">
        <f t="shared" si="2"/>
        <v>6 Rue de ChÃ¢tillon, Ã‰cole-Valentin, , 25480, France</v>
      </c>
      <c r="AR18" t="str">
        <f t="shared" si="0"/>
        <v>French Client</v>
      </c>
      <c r="AS18" t="s">
        <v>64</v>
      </c>
      <c r="AT18">
        <v>34866</v>
      </c>
      <c r="AU18" t="str">
        <f t="shared" si="1"/>
        <v>Medium Client</v>
      </c>
    </row>
    <row r="19" spans="1:47" x14ac:dyDescent="0.25">
      <c r="B19" t="s">
        <v>170</v>
      </c>
      <c r="C19" t="s">
        <v>112</v>
      </c>
      <c r="D19" t="s">
        <v>171</v>
      </c>
      <c r="E19" t="s">
        <v>172</v>
      </c>
      <c r="F19">
        <v>1</v>
      </c>
      <c r="G19" t="s">
        <v>46</v>
      </c>
      <c r="H19" t="s">
        <v>47</v>
      </c>
      <c r="I19" s="1">
        <v>45417</v>
      </c>
      <c r="J19" s="1">
        <v>45417</v>
      </c>
      <c r="K19" t="s">
        <v>47</v>
      </c>
      <c r="L19" t="s">
        <v>48</v>
      </c>
      <c r="M19" t="s">
        <v>47</v>
      </c>
      <c r="N19" s="1">
        <v>45398</v>
      </c>
      <c r="O19" s="1">
        <v>45417</v>
      </c>
      <c r="P19" t="s">
        <v>46</v>
      </c>
      <c r="Q19" t="s">
        <v>47</v>
      </c>
      <c r="R19" t="s">
        <v>47</v>
      </c>
      <c r="S19" t="s">
        <v>47</v>
      </c>
      <c r="V19" t="s">
        <v>47</v>
      </c>
      <c r="W19" t="s">
        <v>50</v>
      </c>
      <c r="X19" s="1">
        <v>45449</v>
      </c>
      <c r="Y19" t="s">
        <v>51</v>
      </c>
      <c r="Z19" s="1">
        <v>46007</v>
      </c>
      <c r="AA19" t="s">
        <v>50</v>
      </c>
      <c r="AB19" t="s">
        <v>52</v>
      </c>
      <c r="AC19" s="2">
        <v>0.15</v>
      </c>
      <c r="AD19" t="s">
        <v>53</v>
      </c>
      <c r="AE19" t="s">
        <v>173</v>
      </c>
      <c r="AG19" t="s">
        <v>174</v>
      </c>
      <c r="AI19">
        <v>25200</v>
      </c>
      <c r="AJ19" t="s">
        <v>87</v>
      </c>
      <c r="AK19" t="s">
        <v>88</v>
      </c>
      <c r="AL19" t="s">
        <v>59</v>
      </c>
      <c r="AM19" t="s">
        <v>60</v>
      </c>
      <c r="AN19" t="s">
        <v>61</v>
      </c>
      <c r="AO19" t="s">
        <v>62</v>
      </c>
      <c r="AQ19" t="str">
        <f t="shared" si="2"/>
        <v>3 A Rue LÃ©on Contejean, Bethoncourt, , 25200, France</v>
      </c>
      <c r="AR19" t="str">
        <f t="shared" si="0"/>
        <v>French Client</v>
      </c>
      <c r="AS19" t="s">
        <v>112</v>
      </c>
      <c r="AT19">
        <v>15840</v>
      </c>
      <c r="AU19" t="str">
        <f t="shared" si="1"/>
        <v>Medium Client</v>
      </c>
    </row>
    <row r="20" spans="1:47" x14ac:dyDescent="0.25">
      <c r="B20" t="s">
        <v>175</v>
      </c>
      <c r="C20" t="s">
        <v>64</v>
      </c>
      <c r="D20" t="s">
        <v>176</v>
      </c>
      <c r="E20" t="s">
        <v>177</v>
      </c>
      <c r="F20">
        <v>2</v>
      </c>
      <c r="G20" t="s">
        <v>46</v>
      </c>
      <c r="H20" s="1">
        <v>44981</v>
      </c>
      <c r="I20" s="1">
        <v>44981</v>
      </c>
      <c r="J20" s="1">
        <v>44836</v>
      </c>
      <c r="K20" t="s">
        <v>47</v>
      </c>
      <c r="L20" t="s">
        <v>48</v>
      </c>
      <c r="M20" t="s">
        <v>47</v>
      </c>
      <c r="N20" s="1">
        <v>44499</v>
      </c>
      <c r="O20" s="1">
        <v>44836</v>
      </c>
      <c r="P20" t="s">
        <v>46</v>
      </c>
      <c r="Q20" t="s">
        <v>47</v>
      </c>
      <c r="R20" t="s">
        <v>47</v>
      </c>
      <c r="S20" t="s">
        <v>47</v>
      </c>
      <c r="V20" t="s">
        <v>47</v>
      </c>
      <c r="W20" t="s">
        <v>50</v>
      </c>
      <c r="X20" s="1">
        <v>44988</v>
      </c>
      <c r="Y20" t="s">
        <v>51</v>
      </c>
      <c r="Z20" t="s">
        <v>47</v>
      </c>
      <c r="AA20" t="s">
        <v>50</v>
      </c>
      <c r="AB20" t="s">
        <v>52</v>
      </c>
      <c r="AC20" s="2">
        <v>0.15</v>
      </c>
      <c r="AD20" t="s">
        <v>53</v>
      </c>
      <c r="AE20" t="s">
        <v>178</v>
      </c>
      <c r="AG20" t="s">
        <v>179</v>
      </c>
      <c r="AI20">
        <v>95048</v>
      </c>
      <c r="AJ20" t="s">
        <v>96</v>
      </c>
      <c r="AK20" t="s">
        <v>97</v>
      </c>
      <c r="AL20" t="s">
        <v>59</v>
      </c>
      <c r="AM20" t="s">
        <v>60</v>
      </c>
      <c r="AN20" t="s">
        <v>61</v>
      </c>
      <c r="AO20" t="s">
        <v>62</v>
      </c>
      <c r="AQ20" t="str">
        <f t="shared" si="2"/>
        <v>12 Via Luigi Capuana, Scordia, , 95048, Italie</v>
      </c>
      <c r="AR20" t="str">
        <f t="shared" si="0"/>
        <v>International Client</v>
      </c>
      <c r="AS20" t="s">
        <v>64</v>
      </c>
      <c r="AT20">
        <v>50192</v>
      </c>
      <c r="AU20" t="str">
        <f t="shared" si="1"/>
        <v>High Client</v>
      </c>
    </row>
    <row r="21" spans="1:47" x14ac:dyDescent="0.25">
      <c r="B21" t="s">
        <v>180</v>
      </c>
      <c r="C21" t="s">
        <v>64</v>
      </c>
      <c r="D21" t="s">
        <v>181</v>
      </c>
      <c r="E21" t="s">
        <v>182</v>
      </c>
      <c r="F21">
        <v>5</v>
      </c>
      <c r="G21" t="s">
        <v>183</v>
      </c>
      <c r="H21" s="1">
        <v>45830</v>
      </c>
      <c r="I21" s="1">
        <v>45777</v>
      </c>
      <c r="J21" s="1">
        <v>45411</v>
      </c>
      <c r="K21" t="s">
        <v>47</v>
      </c>
      <c r="L21" t="s">
        <v>48</v>
      </c>
      <c r="M21" t="s">
        <v>47</v>
      </c>
      <c r="N21" s="1">
        <v>45326</v>
      </c>
      <c r="O21" s="1">
        <v>45411</v>
      </c>
      <c r="P21" t="s">
        <v>46</v>
      </c>
      <c r="Q21" t="s">
        <v>47</v>
      </c>
      <c r="R21" t="s">
        <v>47</v>
      </c>
      <c r="S21" t="s">
        <v>47</v>
      </c>
      <c r="V21" t="s">
        <v>47</v>
      </c>
      <c r="W21" t="s">
        <v>50</v>
      </c>
      <c r="X21" s="1">
        <v>45791</v>
      </c>
      <c r="Y21" t="s">
        <v>51</v>
      </c>
      <c r="Z21" s="1">
        <v>46007</v>
      </c>
      <c r="AA21" t="s">
        <v>50</v>
      </c>
      <c r="AB21" t="s">
        <v>52</v>
      </c>
      <c r="AC21" s="2">
        <v>0.15</v>
      </c>
      <c r="AD21" t="s">
        <v>53</v>
      </c>
      <c r="AE21" t="s">
        <v>184</v>
      </c>
      <c r="AG21" t="s">
        <v>185</v>
      </c>
      <c r="AI21">
        <v>77710</v>
      </c>
      <c r="AJ21" t="s">
        <v>87</v>
      </c>
      <c r="AK21" t="s">
        <v>88</v>
      </c>
      <c r="AL21" t="s">
        <v>137</v>
      </c>
      <c r="AM21" t="s">
        <v>60</v>
      </c>
      <c r="AN21" t="s">
        <v>61</v>
      </c>
      <c r="AO21" t="s">
        <v>62</v>
      </c>
      <c r="AQ21" t="str">
        <f t="shared" si="2"/>
        <v>6 rue des sycomores, Treuzy-levelay, , 77710, France</v>
      </c>
      <c r="AR21" t="str">
        <f t="shared" si="0"/>
        <v>French Client</v>
      </c>
      <c r="AS21" t="s">
        <v>64</v>
      </c>
      <c r="AT21">
        <v>69222</v>
      </c>
      <c r="AU21" t="str">
        <f t="shared" si="1"/>
        <v>High Client</v>
      </c>
    </row>
    <row r="22" spans="1:47" x14ac:dyDescent="0.25">
      <c r="B22" t="s">
        <v>186</v>
      </c>
      <c r="C22" t="s">
        <v>112</v>
      </c>
      <c r="D22" t="s">
        <v>187</v>
      </c>
      <c r="E22" t="s">
        <v>188</v>
      </c>
      <c r="F22">
        <v>2</v>
      </c>
      <c r="G22" t="s">
        <v>46</v>
      </c>
      <c r="H22" s="1">
        <v>45824</v>
      </c>
      <c r="I22" s="1">
        <v>45824</v>
      </c>
      <c r="J22" s="1">
        <v>45412</v>
      </c>
      <c r="K22" t="s">
        <v>47</v>
      </c>
      <c r="L22" t="s">
        <v>48</v>
      </c>
      <c r="M22" t="s">
        <v>47</v>
      </c>
      <c r="N22" s="1">
        <v>45253</v>
      </c>
      <c r="O22" s="1">
        <v>45412</v>
      </c>
      <c r="P22" t="s">
        <v>46</v>
      </c>
      <c r="Q22" t="s">
        <v>47</v>
      </c>
      <c r="R22" t="s">
        <v>47</v>
      </c>
      <c r="S22" t="s">
        <v>47</v>
      </c>
      <c r="T22" t="s">
        <v>67</v>
      </c>
      <c r="V22" t="s">
        <v>47</v>
      </c>
      <c r="W22" t="s">
        <v>50</v>
      </c>
      <c r="X22" s="1">
        <v>45829</v>
      </c>
      <c r="Y22" t="s">
        <v>51</v>
      </c>
      <c r="Z22" s="1">
        <v>46007</v>
      </c>
      <c r="AA22" t="s">
        <v>50</v>
      </c>
      <c r="AB22" t="s">
        <v>52</v>
      </c>
      <c r="AC22" s="2">
        <v>0.15</v>
      </c>
      <c r="AD22" t="s">
        <v>53</v>
      </c>
      <c r="AE22">
        <v>45</v>
      </c>
      <c r="AF22" t="s">
        <v>189</v>
      </c>
      <c r="AG22" t="s">
        <v>190</v>
      </c>
      <c r="AI22">
        <v>57570</v>
      </c>
      <c r="AJ22" t="s">
        <v>87</v>
      </c>
      <c r="AK22" t="s">
        <v>88</v>
      </c>
      <c r="AL22" t="s">
        <v>59</v>
      </c>
      <c r="AM22" t="s">
        <v>98</v>
      </c>
      <c r="AN22" t="s">
        <v>61</v>
      </c>
      <c r="AO22" t="s">
        <v>62</v>
      </c>
      <c r="AQ22" t="str">
        <f t="shared" si="2"/>
        <v>45, Gavisse, , 57570, France</v>
      </c>
      <c r="AR22" t="str">
        <f t="shared" si="0"/>
        <v>French Client</v>
      </c>
      <c r="AS22" t="s">
        <v>112</v>
      </c>
      <c r="AT22">
        <v>29544</v>
      </c>
      <c r="AU22" t="str">
        <f t="shared" si="1"/>
        <v>Medium Client</v>
      </c>
    </row>
    <row r="23" spans="1:47" x14ac:dyDescent="0.25">
      <c r="B23" t="s">
        <v>191</v>
      </c>
      <c r="C23" t="s">
        <v>112</v>
      </c>
      <c r="D23" t="s">
        <v>192</v>
      </c>
      <c r="E23" t="s">
        <v>193</v>
      </c>
      <c r="F23">
        <v>2</v>
      </c>
      <c r="G23" t="s">
        <v>194</v>
      </c>
      <c r="H23" s="1">
        <v>45937</v>
      </c>
      <c r="I23" s="1">
        <v>45882</v>
      </c>
      <c r="J23" s="1">
        <v>45698</v>
      </c>
      <c r="K23" s="1">
        <v>45709</v>
      </c>
      <c r="L23" t="s">
        <v>48</v>
      </c>
      <c r="M23" t="s">
        <v>47</v>
      </c>
      <c r="N23" s="1">
        <v>45644</v>
      </c>
      <c r="O23" s="1">
        <v>45698</v>
      </c>
      <c r="P23" t="s">
        <v>46</v>
      </c>
      <c r="Q23" t="s">
        <v>47</v>
      </c>
      <c r="R23" t="s">
        <v>47</v>
      </c>
      <c r="S23" t="s">
        <v>47</v>
      </c>
      <c r="V23" t="s">
        <v>47</v>
      </c>
      <c r="W23" t="s">
        <v>50</v>
      </c>
      <c r="X23" s="1">
        <v>45890</v>
      </c>
      <c r="Y23" t="s">
        <v>51</v>
      </c>
      <c r="Z23" s="1">
        <v>46007</v>
      </c>
      <c r="AA23" t="s">
        <v>50</v>
      </c>
      <c r="AB23" t="s">
        <v>52</v>
      </c>
      <c r="AC23" s="2">
        <v>0.15</v>
      </c>
      <c r="AD23" t="s">
        <v>53</v>
      </c>
      <c r="AE23" t="s">
        <v>195</v>
      </c>
      <c r="AG23" t="s">
        <v>196</v>
      </c>
      <c r="AI23">
        <v>87510</v>
      </c>
      <c r="AJ23" t="s">
        <v>87</v>
      </c>
      <c r="AK23" t="s">
        <v>88</v>
      </c>
      <c r="AL23" t="s">
        <v>59</v>
      </c>
      <c r="AM23" t="s">
        <v>60</v>
      </c>
      <c r="AN23" t="s">
        <v>61</v>
      </c>
      <c r="AO23" t="s">
        <v>62</v>
      </c>
      <c r="AQ23" t="str">
        <f t="shared" si="2"/>
        <v>18 rue du 8 mai 1945, Nieul, , 87510, France</v>
      </c>
      <c r="AR23" t="str">
        <f t="shared" si="0"/>
        <v>French Client</v>
      </c>
      <c r="AS23" t="s">
        <v>112</v>
      </c>
      <c r="AT23">
        <v>83064</v>
      </c>
      <c r="AU23" t="str">
        <f t="shared" si="1"/>
        <v>High Client</v>
      </c>
    </row>
    <row r="24" spans="1:47" x14ac:dyDescent="0.25">
      <c r="B24" t="s">
        <v>197</v>
      </c>
      <c r="C24" t="s">
        <v>198</v>
      </c>
      <c r="D24" t="s">
        <v>199</v>
      </c>
      <c r="E24" t="s">
        <v>200</v>
      </c>
      <c r="F24">
        <v>1</v>
      </c>
      <c r="G24" t="s">
        <v>46</v>
      </c>
      <c r="H24" t="s">
        <v>47</v>
      </c>
      <c r="I24" s="1">
        <v>45020</v>
      </c>
      <c r="J24" s="1">
        <v>45020</v>
      </c>
      <c r="K24" t="s">
        <v>47</v>
      </c>
      <c r="L24" t="s">
        <v>48</v>
      </c>
      <c r="M24" t="s">
        <v>47</v>
      </c>
      <c r="N24" s="1">
        <v>44859</v>
      </c>
      <c r="O24" s="1">
        <v>45020</v>
      </c>
      <c r="P24" t="s">
        <v>46</v>
      </c>
      <c r="Q24" t="s">
        <v>47</v>
      </c>
      <c r="R24" t="s">
        <v>47</v>
      </c>
      <c r="S24" t="s">
        <v>47</v>
      </c>
      <c r="V24" t="s">
        <v>47</v>
      </c>
      <c r="W24" t="s">
        <v>50</v>
      </c>
      <c r="X24" s="1">
        <v>45052</v>
      </c>
      <c r="Y24" t="s">
        <v>51</v>
      </c>
      <c r="Z24" s="1">
        <v>45617</v>
      </c>
      <c r="AA24" t="s">
        <v>50</v>
      </c>
      <c r="AB24" t="s">
        <v>52</v>
      </c>
      <c r="AC24" s="2">
        <v>0.15</v>
      </c>
      <c r="AD24" t="s">
        <v>53</v>
      </c>
      <c r="AE24" t="s">
        <v>201</v>
      </c>
      <c r="AG24" t="s">
        <v>202</v>
      </c>
      <c r="AI24">
        <v>3260</v>
      </c>
      <c r="AJ24" t="s">
        <v>87</v>
      </c>
      <c r="AK24" t="s">
        <v>88</v>
      </c>
      <c r="AL24" t="s">
        <v>59</v>
      </c>
      <c r="AM24" t="s">
        <v>60</v>
      </c>
      <c r="AN24" t="s">
        <v>61</v>
      </c>
      <c r="AO24" t="s">
        <v>62</v>
      </c>
      <c r="AQ24" t="str">
        <f t="shared" si="2"/>
        <v>19 bis rue Pierre Semard, Saint Germain des FossÃ©s, , 3260, France</v>
      </c>
      <c r="AR24" t="str">
        <f t="shared" si="0"/>
        <v>French Client</v>
      </c>
      <c r="AS24" t="s">
        <v>198</v>
      </c>
      <c r="AT24">
        <v>19600</v>
      </c>
      <c r="AU24" t="str">
        <f t="shared" si="1"/>
        <v>Medium Client</v>
      </c>
    </row>
    <row r="25" spans="1:47" x14ac:dyDescent="0.25">
      <c r="B25" t="s">
        <v>203</v>
      </c>
      <c r="C25" t="s">
        <v>112</v>
      </c>
      <c r="D25" t="s">
        <v>204</v>
      </c>
      <c r="E25" t="s">
        <v>205</v>
      </c>
      <c r="F25">
        <v>3</v>
      </c>
      <c r="G25" t="s">
        <v>46</v>
      </c>
      <c r="H25" s="1">
        <v>45834</v>
      </c>
      <c r="I25" s="1">
        <v>45834</v>
      </c>
      <c r="J25" s="1">
        <v>45562</v>
      </c>
      <c r="K25" t="s">
        <v>47</v>
      </c>
      <c r="L25" t="s">
        <v>48</v>
      </c>
      <c r="M25" s="1">
        <v>45636</v>
      </c>
      <c r="N25" s="1">
        <v>44710</v>
      </c>
      <c r="O25" s="1">
        <v>45562</v>
      </c>
      <c r="P25" t="s">
        <v>46</v>
      </c>
      <c r="Q25" t="s">
        <v>47</v>
      </c>
      <c r="R25" t="s">
        <v>47</v>
      </c>
      <c r="S25" t="s">
        <v>47</v>
      </c>
      <c r="T25" t="s">
        <v>67</v>
      </c>
      <c r="V25" t="s">
        <v>47</v>
      </c>
      <c r="W25" t="s">
        <v>50</v>
      </c>
      <c r="X25" s="1">
        <v>45842</v>
      </c>
      <c r="Y25" t="s">
        <v>51</v>
      </c>
      <c r="Z25" s="1">
        <v>46007</v>
      </c>
      <c r="AA25" t="s">
        <v>50</v>
      </c>
      <c r="AB25" t="s">
        <v>52</v>
      </c>
      <c r="AC25" s="2">
        <v>0.15</v>
      </c>
      <c r="AD25" t="s">
        <v>53</v>
      </c>
      <c r="AE25" t="s">
        <v>206</v>
      </c>
      <c r="AG25" t="s">
        <v>207</v>
      </c>
      <c r="AI25">
        <v>14123</v>
      </c>
      <c r="AJ25" t="s">
        <v>87</v>
      </c>
      <c r="AK25" t="s">
        <v>88</v>
      </c>
      <c r="AL25" t="s">
        <v>59</v>
      </c>
      <c r="AM25" t="s">
        <v>60</v>
      </c>
      <c r="AN25" t="s">
        <v>61</v>
      </c>
      <c r="AO25" t="s">
        <v>62</v>
      </c>
      <c r="AQ25" t="str">
        <f t="shared" si="2"/>
        <v>16 Place Claude Debussy, Ifs, , 14123, France</v>
      </c>
      <c r="AR25" t="str">
        <f t="shared" si="0"/>
        <v>French Client</v>
      </c>
      <c r="AS25" t="s">
        <v>112</v>
      </c>
      <c r="AT25">
        <v>41424</v>
      </c>
      <c r="AU25" t="str">
        <f t="shared" si="1"/>
        <v>Medium Client</v>
      </c>
    </row>
    <row r="26" spans="1:47" x14ac:dyDescent="0.25">
      <c r="B26" t="s">
        <v>208</v>
      </c>
      <c r="C26" t="s">
        <v>64</v>
      </c>
      <c r="D26" t="s">
        <v>209</v>
      </c>
      <c r="E26" t="s">
        <v>210</v>
      </c>
      <c r="F26">
        <v>1</v>
      </c>
      <c r="G26" t="s">
        <v>49</v>
      </c>
      <c r="H26" t="s">
        <v>47</v>
      </c>
      <c r="I26" s="1">
        <v>45959</v>
      </c>
      <c r="J26" s="1">
        <v>45959</v>
      </c>
      <c r="K26" s="1">
        <v>45971</v>
      </c>
      <c r="L26" t="s">
        <v>48</v>
      </c>
      <c r="M26" t="s">
        <v>47</v>
      </c>
      <c r="N26" s="1">
        <v>45429</v>
      </c>
      <c r="O26" s="1">
        <v>45959</v>
      </c>
      <c r="P26" t="s">
        <v>46</v>
      </c>
      <c r="Q26" t="s">
        <v>47</v>
      </c>
      <c r="R26" t="s">
        <v>47</v>
      </c>
      <c r="S26" t="s">
        <v>47</v>
      </c>
      <c r="V26" t="s">
        <v>47</v>
      </c>
      <c r="W26" t="s">
        <v>50</v>
      </c>
      <c r="X26" s="1">
        <v>45971</v>
      </c>
      <c r="Y26" t="s">
        <v>51</v>
      </c>
      <c r="Z26" s="1">
        <v>46007</v>
      </c>
      <c r="AA26" t="s">
        <v>50</v>
      </c>
      <c r="AB26" t="s">
        <v>52</v>
      </c>
      <c r="AC26" s="2">
        <v>0.15</v>
      </c>
      <c r="AD26" t="s">
        <v>53</v>
      </c>
      <c r="AE26" t="s">
        <v>211</v>
      </c>
      <c r="AG26" t="s">
        <v>212</v>
      </c>
      <c r="AI26">
        <v>13043</v>
      </c>
      <c r="AJ26" t="s">
        <v>96</v>
      </c>
      <c r="AK26" t="s">
        <v>97</v>
      </c>
      <c r="AL26" t="s">
        <v>59</v>
      </c>
      <c r="AM26" t="s">
        <v>60</v>
      </c>
      <c r="AN26" t="s">
        <v>61</v>
      </c>
      <c r="AO26" t="s">
        <v>62</v>
      </c>
      <c r="AQ26" t="str">
        <f t="shared" si="2"/>
        <v>Piazza Cavour 15, Cigliano , , 13043, Italie</v>
      </c>
      <c r="AR26" t="str">
        <f t="shared" si="0"/>
        <v>International Client</v>
      </c>
      <c r="AS26" t="s">
        <v>64</v>
      </c>
      <c r="AT26">
        <v>15870</v>
      </c>
      <c r="AU26" t="str">
        <f t="shared" si="1"/>
        <v>Medium Client</v>
      </c>
    </row>
    <row r="27" spans="1:47" x14ac:dyDescent="0.25">
      <c r="B27" t="s">
        <v>213</v>
      </c>
      <c r="C27" t="s">
        <v>112</v>
      </c>
      <c r="D27" t="s">
        <v>214</v>
      </c>
      <c r="E27" t="s">
        <v>215</v>
      </c>
      <c r="F27">
        <v>1</v>
      </c>
      <c r="G27" t="s">
        <v>49</v>
      </c>
      <c r="H27" t="s">
        <v>47</v>
      </c>
      <c r="I27" s="1">
        <v>45951</v>
      </c>
      <c r="J27" s="1">
        <v>45951</v>
      </c>
      <c r="K27" s="1">
        <v>45957</v>
      </c>
      <c r="L27" t="s">
        <v>48</v>
      </c>
      <c r="M27" t="s">
        <v>47</v>
      </c>
      <c r="N27" s="1">
        <v>45360</v>
      </c>
      <c r="O27" s="1">
        <v>45951</v>
      </c>
      <c r="P27" t="s">
        <v>46</v>
      </c>
      <c r="Q27" t="s">
        <v>47</v>
      </c>
      <c r="R27" t="s">
        <v>47</v>
      </c>
      <c r="S27" t="s">
        <v>47</v>
      </c>
      <c r="V27" t="s">
        <v>47</v>
      </c>
      <c r="W27" t="s">
        <v>50</v>
      </c>
      <c r="X27" s="1">
        <v>45957</v>
      </c>
      <c r="Y27" t="s">
        <v>51</v>
      </c>
      <c r="Z27" s="1">
        <v>46007</v>
      </c>
      <c r="AA27" t="s">
        <v>50</v>
      </c>
      <c r="AB27" t="s">
        <v>52</v>
      </c>
      <c r="AC27" s="2">
        <v>0.15</v>
      </c>
      <c r="AD27" t="s">
        <v>53</v>
      </c>
      <c r="AE27" t="s">
        <v>216</v>
      </c>
      <c r="AG27" t="s">
        <v>217</v>
      </c>
      <c r="AI27">
        <v>59287</v>
      </c>
      <c r="AJ27" t="s">
        <v>87</v>
      </c>
      <c r="AK27" t="s">
        <v>88</v>
      </c>
      <c r="AL27" t="s">
        <v>59</v>
      </c>
      <c r="AM27" t="s">
        <v>60</v>
      </c>
      <c r="AN27" t="s">
        <v>61</v>
      </c>
      <c r="AO27" t="s">
        <v>62</v>
      </c>
      <c r="AQ27" t="str">
        <f t="shared" si="2"/>
        <v>Rue Charles Hombert, Lewarde, , 59287, France</v>
      </c>
      <c r="AR27" t="str">
        <f t="shared" si="0"/>
        <v>French Client</v>
      </c>
      <c r="AS27" t="s">
        <v>112</v>
      </c>
      <c r="AT27">
        <v>17286</v>
      </c>
      <c r="AU27" t="str">
        <f t="shared" si="1"/>
        <v>Medium Client</v>
      </c>
    </row>
    <row r="28" spans="1:47" x14ac:dyDescent="0.25">
      <c r="B28" t="s">
        <v>218</v>
      </c>
      <c r="C28" t="s">
        <v>112</v>
      </c>
      <c r="D28" t="s">
        <v>219</v>
      </c>
      <c r="E28" t="s">
        <v>220</v>
      </c>
      <c r="F28">
        <v>2</v>
      </c>
      <c r="G28" t="s">
        <v>46</v>
      </c>
      <c r="H28" s="1">
        <v>45971</v>
      </c>
      <c r="I28" s="1">
        <v>45763</v>
      </c>
      <c r="J28" s="1">
        <v>45490</v>
      </c>
      <c r="K28" t="s">
        <v>47</v>
      </c>
      <c r="L28" t="s">
        <v>48</v>
      </c>
      <c r="M28" t="s">
        <v>47</v>
      </c>
      <c r="N28" s="1">
        <v>45237</v>
      </c>
      <c r="O28" s="1">
        <v>45490</v>
      </c>
      <c r="P28" t="s">
        <v>46</v>
      </c>
      <c r="Q28" t="s">
        <v>47</v>
      </c>
      <c r="R28" t="s">
        <v>47</v>
      </c>
      <c r="S28" t="s">
        <v>47</v>
      </c>
      <c r="V28" t="s">
        <v>47</v>
      </c>
      <c r="W28" t="s">
        <v>50</v>
      </c>
      <c r="X28" s="1">
        <v>45772</v>
      </c>
      <c r="Y28" t="s">
        <v>51</v>
      </c>
      <c r="Z28" s="1">
        <v>46007</v>
      </c>
      <c r="AA28" t="s">
        <v>50</v>
      </c>
      <c r="AB28" t="s">
        <v>52</v>
      </c>
      <c r="AC28" s="2">
        <v>0.15</v>
      </c>
      <c r="AD28" t="s">
        <v>53</v>
      </c>
      <c r="AE28" t="s">
        <v>221</v>
      </c>
      <c r="AG28" t="s">
        <v>222</v>
      </c>
      <c r="AI28">
        <v>33500</v>
      </c>
      <c r="AJ28" t="s">
        <v>87</v>
      </c>
      <c r="AK28" t="s">
        <v>88</v>
      </c>
      <c r="AL28" t="s">
        <v>137</v>
      </c>
      <c r="AM28" t="s">
        <v>98</v>
      </c>
      <c r="AN28" t="s">
        <v>61</v>
      </c>
      <c r="AO28" t="s">
        <v>62</v>
      </c>
      <c r="AQ28" t="str">
        <f t="shared" si="2"/>
        <v>137 Rue de la Marne, Libourne, , 33500, France</v>
      </c>
      <c r="AR28" t="str">
        <f t="shared" si="0"/>
        <v>French Client</v>
      </c>
      <c r="AS28" t="s">
        <v>112</v>
      </c>
      <c r="AT28">
        <v>26016</v>
      </c>
      <c r="AU28" t="str">
        <f t="shared" si="1"/>
        <v>Medium Client</v>
      </c>
    </row>
    <row r="29" spans="1:47" x14ac:dyDescent="0.25">
      <c r="B29" t="s">
        <v>223</v>
      </c>
      <c r="C29" t="s">
        <v>112</v>
      </c>
      <c r="D29" t="s">
        <v>224</v>
      </c>
      <c r="E29" t="s">
        <v>225</v>
      </c>
      <c r="F29">
        <v>3</v>
      </c>
      <c r="G29" t="s">
        <v>46</v>
      </c>
      <c r="H29" s="1">
        <v>45560</v>
      </c>
      <c r="I29" s="1">
        <v>45547</v>
      </c>
      <c r="J29" s="1">
        <v>45540</v>
      </c>
      <c r="K29" t="s">
        <v>47</v>
      </c>
      <c r="L29" t="s">
        <v>48</v>
      </c>
      <c r="M29" t="s">
        <v>47</v>
      </c>
      <c r="N29" s="1">
        <v>45533</v>
      </c>
      <c r="O29" s="1">
        <v>45540</v>
      </c>
      <c r="P29" t="s">
        <v>46</v>
      </c>
      <c r="Q29" t="s">
        <v>47</v>
      </c>
      <c r="R29" t="s">
        <v>47</v>
      </c>
      <c r="S29" t="s">
        <v>47</v>
      </c>
      <c r="V29" t="s">
        <v>47</v>
      </c>
      <c r="W29" t="s">
        <v>50</v>
      </c>
      <c r="X29" s="1">
        <v>45558</v>
      </c>
      <c r="Y29" t="s">
        <v>51</v>
      </c>
      <c r="Z29" s="1">
        <v>46007</v>
      </c>
      <c r="AA29" t="s">
        <v>50</v>
      </c>
      <c r="AB29" t="s">
        <v>52</v>
      </c>
      <c r="AC29" s="2">
        <v>0.15</v>
      </c>
      <c r="AD29" t="s">
        <v>53</v>
      </c>
      <c r="AE29" t="s">
        <v>226</v>
      </c>
      <c r="AG29" t="s">
        <v>227</v>
      </c>
      <c r="AI29" t="s">
        <v>228</v>
      </c>
      <c r="AJ29" t="s">
        <v>229</v>
      </c>
      <c r="AK29" t="s">
        <v>230</v>
      </c>
      <c r="AL29" t="s">
        <v>59</v>
      </c>
      <c r="AM29" t="s">
        <v>60</v>
      </c>
      <c r="AN29" t="s">
        <v>61</v>
      </c>
      <c r="AO29" t="s">
        <v>62</v>
      </c>
      <c r="AQ29" t="str">
        <f t="shared" si="2"/>
        <v>127 De Hooidollen, Leeuwarden, , 8918 JA, Pays-Bas</v>
      </c>
      <c r="AR29" t="str">
        <f t="shared" si="0"/>
        <v>International Client</v>
      </c>
      <c r="AS29" t="s">
        <v>112</v>
      </c>
      <c r="AT29">
        <v>34450</v>
      </c>
      <c r="AU29" t="str">
        <f t="shared" si="1"/>
        <v>Medium Client</v>
      </c>
    </row>
    <row r="30" spans="1:47" x14ac:dyDescent="0.25">
      <c r="B30" t="s">
        <v>231</v>
      </c>
      <c r="C30" t="s">
        <v>112</v>
      </c>
      <c r="D30" t="s">
        <v>232</v>
      </c>
      <c r="E30" t="s">
        <v>233</v>
      </c>
      <c r="F30">
        <v>1</v>
      </c>
      <c r="G30" t="s">
        <v>49</v>
      </c>
      <c r="H30" t="s">
        <v>47</v>
      </c>
      <c r="I30" s="1">
        <v>45615</v>
      </c>
      <c r="J30" s="1">
        <v>45615</v>
      </c>
      <c r="K30" t="s">
        <v>47</v>
      </c>
      <c r="L30" t="s">
        <v>48</v>
      </c>
      <c r="M30" t="s">
        <v>47</v>
      </c>
      <c r="N30" s="1">
        <v>45603</v>
      </c>
      <c r="O30" s="1">
        <v>45615</v>
      </c>
      <c r="P30" t="s">
        <v>46</v>
      </c>
      <c r="Q30" t="s">
        <v>47</v>
      </c>
      <c r="R30" t="s">
        <v>47</v>
      </c>
      <c r="S30" t="s">
        <v>47</v>
      </c>
      <c r="V30" t="s">
        <v>47</v>
      </c>
      <c r="W30" t="s">
        <v>50</v>
      </c>
      <c r="X30" s="1">
        <v>45628</v>
      </c>
      <c r="Y30" t="s">
        <v>51</v>
      </c>
      <c r="Z30" s="1">
        <v>46007</v>
      </c>
      <c r="AA30" t="s">
        <v>50</v>
      </c>
      <c r="AB30" t="s">
        <v>52</v>
      </c>
      <c r="AC30" s="2">
        <v>0.15</v>
      </c>
      <c r="AD30" t="s">
        <v>53</v>
      </c>
      <c r="AE30" t="s">
        <v>234</v>
      </c>
      <c r="AF30">
        <v>46</v>
      </c>
      <c r="AG30" t="s">
        <v>235</v>
      </c>
      <c r="AI30">
        <v>179</v>
      </c>
      <c r="AJ30" t="s">
        <v>96</v>
      </c>
      <c r="AK30" t="s">
        <v>97</v>
      </c>
      <c r="AL30" t="s">
        <v>59</v>
      </c>
      <c r="AM30" t="s">
        <v>60</v>
      </c>
      <c r="AN30" t="s">
        <v>61</v>
      </c>
      <c r="AO30" t="s">
        <v>62</v>
      </c>
      <c r="AQ30" t="str">
        <f t="shared" si="2"/>
        <v>Via Tommaso Inghirami, Roma, , 179, Italie</v>
      </c>
      <c r="AR30" t="str">
        <f t="shared" si="0"/>
        <v>International Client</v>
      </c>
      <c r="AS30" t="s">
        <v>112</v>
      </c>
      <c r="AT30">
        <v>10836</v>
      </c>
      <c r="AU30" t="str">
        <f t="shared" si="1"/>
        <v>Medium Client</v>
      </c>
    </row>
    <row r="31" spans="1:47" x14ac:dyDescent="0.25">
      <c r="A31" t="s">
        <v>236</v>
      </c>
      <c r="B31" t="s">
        <v>237</v>
      </c>
      <c r="C31" t="s">
        <v>64</v>
      </c>
      <c r="D31" t="s">
        <v>238</v>
      </c>
      <c r="E31" t="s">
        <v>239</v>
      </c>
      <c r="F31">
        <v>2</v>
      </c>
      <c r="G31" t="s">
        <v>46</v>
      </c>
      <c r="H31" s="1">
        <v>44813</v>
      </c>
      <c r="I31" s="1">
        <v>44699</v>
      </c>
      <c r="J31" s="1">
        <v>44543</v>
      </c>
      <c r="K31" t="s">
        <v>47</v>
      </c>
      <c r="L31" t="s">
        <v>48</v>
      </c>
      <c r="M31" t="s">
        <v>47</v>
      </c>
      <c r="N31" s="1">
        <v>44540</v>
      </c>
      <c r="O31" s="1">
        <v>44540</v>
      </c>
      <c r="P31" t="s">
        <v>46</v>
      </c>
      <c r="Q31" s="1">
        <v>44570</v>
      </c>
      <c r="R31" t="s">
        <v>47</v>
      </c>
      <c r="S31" s="1">
        <v>44905</v>
      </c>
      <c r="V31" t="s">
        <v>47</v>
      </c>
      <c r="W31" t="s">
        <v>240</v>
      </c>
      <c r="X31" s="1">
        <v>44734</v>
      </c>
      <c r="Y31" t="s">
        <v>51</v>
      </c>
      <c r="Z31" s="1">
        <v>46007</v>
      </c>
      <c r="AA31" t="s">
        <v>117</v>
      </c>
      <c r="AB31" t="s">
        <v>52</v>
      </c>
      <c r="AC31" s="2">
        <v>0</v>
      </c>
      <c r="AD31" t="s">
        <v>53</v>
      </c>
      <c r="AE31" t="s">
        <v>241</v>
      </c>
      <c r="AF31" t="s">
        <v>242</v>
      </c>
      <c r="AG31" t="s">
        <v>243</v>
      </c>
      <c r="AI31">
        <v>54000</v>
      </c>
      <c r="AJ31" t="s">
        <v>87</v>
      </c>
      <c r="AK31" t="s">
        <v>88</v>
      </c>
      <c r="AL31" t="s">
        <v>59</v>
      </c>
      <c r="AM31" t="s">
        <v>60</v>
      </c>
      <c r="AN31" t="s">
        <v>61</v>
      </c>
      <c r="AO31" t="s">
        <v>62</v>
      </c>
      <c r="AQ31" t="str">
        <f t="shared" si="2"/>
        <v>39B Boulevard de Scarpone, Nancy, , 54000, France</v>
      </c>
      <c r="AR31" t="str">
        <f t="shared" si="0"/>
        <v>French Client</v>
      </c>
      <c r="AS31" t="s">
        <v>64</v>
      </c>
      <c r="AT31">
        <v>40223</v>
      </c>
      <c r="AU31" t="str">
        <f t="shared" si="1"/>
        <v>Medium Client</v>
      </c>
    </row>
    <row r="32" spans="1:47" x14ac:dyDescent="0.25">
      <c r="B32" t="s">
        <v>244</v>
      </c>
      <c r="C32" t="s">
        <v>112</v>
      </c>
      <c r="D32" t="s">
        <v>245</v>
      </c>
      <c r="E32" t="s">
        <v>246</v>
      </c>
      <c r="F32">
        <v>3</v>
      </c>
      <c r="G32" t="s">
        <v>46</v>
      </c>
      <c r="H32" s="1">
        <v>45973</v>
      </c>
      <c r="I32" s="1">
        <v>45973</v>
      </c>
      <c r="J32" s="1">
        <v>45862</v>
      </c>
      <c r="K32" s="1">
        <v>45870</v>
      </c>
      <c r="L32" t="s">
        <v>48</v>
      </c>
      <c r="M32" t="s">
        <v>47</v>
      </c>
      <c r="N32" s="1">
        <v>45107</v>
      </c>
      <c r="O32" s="1">
        <v>45862</v>
      </c>
      <c r="P32" t="s">
        <v>46</v>
      </c>
      <c r="Q32" t="s">
        <v>47</v>
      </c>
      <c r="R32" t="s">
        <v>47</v>
      </c>
      <c r="S32" t="s">
        <v>47</v>
      </c>
      <c r="V32" t="s">
        <v>47</v>
      </c>
      <c r="W32" t="s">
        <v>50</v>
      </c>
      <c r="X32" s="1">
        <v>45982</v>
      </c>
      <c r="Y32" t="s">
        <v>51</v>
      </c>
      <c r="Z32" s="1">
        <v>46007</v>
      </c>
      <c r="AA32" t="s">
        <v>50</v>
      </c>
      <c r="AB32" t="s">
        <v>52</v>
      </c>
      <c r="AC32" s="2">
        <v>0.15</v>
      </c>
      <c r="AD32" t="s">
        <v>53</v>
      </c>
      <c r="AE32" t="s">
        <v>247</v>
      </c>
      <c r="AG32" t="s">
        <v>248</v>
      </c>
      <c r="AI32">
        <v>26100</v>
      </c>
      <c r="AJ32" t="s">
        <v>96</v>
      </c>
      <c r="AK32" t="s">
        <v>97</v>
      </c>
      <c r="AL32" t="s">
        <v>59</v>
      </c>
      <c r="AM32" t="s">
        <v>60</v>
      </c>
      <c r="AN32" t="s">
        <v>61</v>
      </c>
      <c r="AO32" t="s">
        <v>62</v>
      </c>
      <c r="AQ32" t="str">
        <f t="shared" si="2"/>
        <v>40 Via Felice Geromini, Cremona, , 26100, Italie</v>
      </c>
      <c r="AR32" t="str">
        <f t="shared" si="0"/>
        <v>International Client</v>
      </c>
      <c r="AS32" t="s">
        <v>112</v>
      </c>
      <c r="AT32">
        <v>91054</v>
      </c>
      <c r="AU32" t="str">
        <f t="shared" si="1"/>
        <v>High Client</v>
      </c>
    </row>
    <row r="33" spans="1:47" x14ac:dyDescent="0.25">
      <c r="A33" t="s">
        <v>249</v>
      </c>
      <c r="B33" t="s">
        <v>250</v>
      </c>
      <c r="C33" t="s">
        <v>112</v>
      </c>
      <c r="D33" t="s">
        <v>251</v>
      </c>
      <c r="E33" t="s">
        <v>252</v>
      </c>
      <c r="F33">
        <v>1</v>
      </c>
      <c r="G33" t="s">
        <v>253</v>
      </c>
      <c r="H33" s="1">
        <v>45966</v>
      </c>
      <c r="I33" s="1">
        <v>45617</v>
      </c>
      <c r="J33" s="1">
        <v>45617</v>
      </c>
      <c r="K33" t="s">
        <v>47</v>
      </c>
      <c r="L33" t="s">
        <v>48</v>
      </c>
      <c r="M33" s="1">
        <v>45917</v>
      </c>
      <c r="N33" s="1">
        <v>44645</v>
      </c>
      <c r="O33" s="1">
        <v>45617</v>
      </c>
      <c r="P33" t="s">
        <v>46</v>
      </c>
      <c r="Q33" s="1">
        <v>45623</v>
      </c>
      <c r="R33" t="s">
        <v>47</v>
      </c>
      <c r="S33" s="1">
        <v>45982</v>
      </c>
      <c r="V33" t="s">
        <v>47</v>
      </c>
      <c r="W33" t="s">
        <v>116</v>
      </c>
      <c r="X33" s="1">
        <v>45625</v>
      </c>
      <c r="Y33" t="s">
        <v>51</v>
      </c>
      <c r="Z33" s="1">
        <v>46007</v>
      </c>
      <c r="AA33" t="s">
        <v>117</v>
      </c>
      <c r="AB33" t="s">
        <v>52</v>
      </c>
      <c r="AC33" s="2">
        <v>0</v>
      </c>
      <c r="AD33" t="s">
        <v>53</v>
      </c>
      <c r="AE33" t="s">
        <v>254</v>
      </c>
      <c r="AG33" t="s">
        <v>255</v>
      </c>
      <c r="AI33">
        <v>14880</v>
      </c>
      <c r="AJ33" t="s">
        <v>87</v>
      </c>
      <c r="AK33" t="s">
        <v>88</v>
      </c>
      <c r="AL33" t="s">
        <v>59</v>
      </c>
      <c r="AM33" t="s">
        <v>60</v>
      </c>
      <c r="AN33" t="s">
        <v>61</v>
      </c>
      <c r="AO33" t="s">
        <v>62</v>
      </c>
      <c r="AQ33" t="str">
        <f t="shared" si="2"/>
        <v>88 Rue Edmonde Charles-Roux, Hermanville-sur-Mer, , 14880, France</v>
      </c>
      <c r="AR33" t="str">
        <f t="shared" si="0"/>
        <v>French Client</v>
      </c>
      <c r="AS33" t="s">
        <v>112</v>
      </c>
      <c r="AT33">
        <v>33612</v>
      </c>
      <c r="AU33" t="str">
        <f t="shared" si="1"/>
        <v>Medium Client</v>
      </c>
    </row>
    <row r="34" spans="1:47" x14ac:dyDescent="0.25">
      <c r="B34" t="s">
        <v>256</v>
      </c>
      <c r="C34" t="s">
        <v>64</v>
      </c>
      <c r="D34" t="s">
        <v>257</v>
      </c>
      <c r="E34" t="s">
        <v>258</v>
      </c>
      <c r="F34">
        <v>1</v>
      </c>
      <c r="G34" t="s">
        <v>49</v>
      </c>
      <c r="H34" t="s">
        <v>47</v>
      </c>
      <c r="I34" s="1">
        <v>45982</v>
      </c>
      <c r="J34" s="1">
        <v>45982</v>
      </c>
      <c r="K34" s="1">
        <v>45988</v>
      </c>
      <c r="L34" t="s">
        <v>48</v>
      </c>
      <c r="M34" t="s">
        <v>47</v>
      </c>
      <c r="N34" s="1">
        <v>44344</v>
      </c>
      <c r="O34" s="1">
        <v>45982</v>
      </c>
      <c r="P34" t="s">
        <v>46</v>
      </c>
      <c r="Q34" t="s">
        <v>47</v>
      </c>
      <c r="R34" t="s">
        <v>47</v>
      </c>
      <c r="S34" t="s">
        <v>47</v>
      </c>
      <c r="V34" t="s">
        <v>47</v>
      </c>
      <c r="W34" t="s">
        <v>50</v>
      </c>
      <c r="X34" s="1">
        <v>45988</v>
      </c>
      <c r="Y34" t="s">
        <v>51</v>
      </c>
      <c r="Z34" s="1">
        <v>46007</v>
      </c>
      <c r="AA34" t="s">
        <v>50</v>
      </c>
      <c r="AB34" t="s">
        <v>52</v>
      </c>
      <c r="AC34" s="2">
        <v>0.15</v>
      </c>
      <c r="AD34" t="s">
        <v>53</v>
      </c>
      <c r="AE34" t="s">
        <v>259</v>
      </c>
      <c r="AG34" t="s">
        <v>260</v>
      </c>
      <c r="AI34">
        <v>6210</v>
      </c>
      <c r="AJ34" t="s">
        <v>87</v>
      </c>
      <c r="AK34" t="s">
        <v>88</v>
      </c>
      <c r="AL34" t="s">
        <v>59</v>
      </c>
      <c r="AM34" t="s">
        <v>60</v>
      </c>
      <c r="AN34" t="s">
        <v>61</v>
      </c>
      <c r="AO34" t="s">
        <v>62</v>
      </c>
      <c r="AQ34" t="str">
        <f t="shared" si="2"/>
        <v>42 Chemin Levassor, Mandelieu-la-Napoule, , 6210, France</v>
      </c>
      <c r="AR34" t="str">
        <f t="shared" si="0"/>
        <v>French Client</v>
      </c>
      <c r="AS34" t="s">
        <v>64</v>
      </c>
      <c r="AT34">
        <v>15192</v>
      </c>
      <c r="AU34" t="str">
        <f t="shared" si="1"/>
        <v>Medium Client</v>
      </c>
    </row>
    <row r="35" spans="1:47" x14ac:dyDescent="0.25">
      <c r="B35" t="s">
        <v>261</v>
      </c>
      <c r="C35" t="s">
        <v>198</v>
      </c>
      <c r="D35" t="s">
        <v>262</v>
      </c>
      <c r="E35" t="s">
        <v>263</v>
      </c>
      <c r="F35">
        <v>4</v>
      </c>
      <c r="G35" t="s">
        <v>46</v>
      </c>
      <c r="H35" s="1">
        <v>45860</v>
      </c>
      <c r="I35" s="1">
        <v>45860</v>
      </c>
      <c r="J35" s="1">
        <v>45452</v>
      </c>
      <c r="K35" t="s">
        <v>47</v>
      </c>
      <c r="L35" t="s">
        <v>48</v>
      </c>
      <c r="M35" s="1">
        <v>45756</v>
      </c>
      <c r="N35" s="1">
        <v>45416</v>
      </c>
      <c r="O35" s="1">
        <v>45452</v>
      </c>
      <c r="P35" t="s">
        <v>46</v>
      </c>
      <c r="Q35" t="s">
        <v>47</v>
      </c>
      <c r="R35" t="s">
        <v>47</v>
      </c>
      <c r="S35" t="s">
        <v>47</v>
      </c>
      <c r="V35" t="s">
        <v>47</v>
      </c>
      <c r="W35" t="s">
        <v>50</v>
      </c>
      <c r="X35" s="1">
        <v>45866</v>
      </c>
      <c r="Y35" t="s">
        <v>51</v>
      </c>
      <c r="Z35" s="1">
        <v>46007</v>
      </c>
      <c r="AA35" t="s">
        <v>50</v>
      </c>
      <c r="AB35" t="s">
        <v>52</v>
      </c>
      <c r="AC35" s="2">
        <v>0.15</v>
      </c>
      <c r="AD35" t="s">
        <v>53</v>
      </c>
      <c r="AE35" t="s">
        <v>264</v>
      </c>
      <c r="AG35" t="s">
        <v>265</v>
      </c>
      <c r="AI35">
        <v>88130</v>
      </c>
      <c r="AJ35" t="s">
        <v>87</v>
      </c>
      <c r="AK35" t="s">
        <v>88</v>
      </c>
      <c r="AL35" t="s">
        <v>59</v>
      </c>
      <c r="AM35" t="s">
        <v>60</v>
      </c>
      <c r="AN35" t="s">
        <v>61</v>
      </c>
      <c r="AO35" t="s">
        <v>62</v>
      </c>
      <c r="AQ35" t="str">
        <f t="shared" si="2"/>
        <v>61 Rue Claude Barres, Charmes, , 88130, France</v>
      </c>
      <c r="AR35" t="str">
        <f t="shared" si="0"/>
        <v>French Client</v>
      </c>
      <c r="AS35" t="s">
        <v>198</v>
      </c>
      <c r="AT35">
        <v>151780</v>
      </c>
      <c r="AU35" t="str">
        <f t="shared" si="1"/>
        <v>High Client</v>
      </c>
    </row>
    <row r="36" spans="1:47" x14ac:dyDescent="0.25">
      <c r="B36" t="s">
        <v>266</v>
      </c>
      <c r="C36" t="s">
        <v>267</v>
      </c>
      <c r="D36" t="s">
        <v>268</v>
      </c>
      <c r="E36" t="s">
        <v>269</v>
      </c>
      <c r="F36">
        <v>4</v>
      </c>
      <c r="G36" t="s">
        <v>270</v>
      </c>
      <c r="H36" s="1">
        <v>45651</v>
      </c>
      <c r="I36" s="1">
        <v>45631</v>
      </c>
      <c r="J36" s="1">
        <v>44539</v>
      </c>
      <c r="K36" t="s">
        <v>47</v>
      </c>
      <c r="L36" t="s">
        <v>48</v>
      </c>
      <c r="M36" t="s">
        <v>47</v>
      </c>
      <c r="N36" s="1">
        <v>43595</v>
      </c>
      <c r="O36" s="1">
        <v>44539</v>
      </c>
      <c r="P36" t="s">
        <v>49</v>
      </c>
      <c r="Q36" t="s">
        <v>47</v>
      </c>
      <c r="R36" t="s">
        <v>47</v>
      </c>
      <c r="S36" t="s">
        <v>47</v>
      </c>
      <c r="V36" t="s">
        <v>47</v>
      </c>
      <c r="W36" t="s">
        <v>50</v>
      </c>
      <c r="X36" s="1">
        <v>45647</v>
      </c>
      <c r="Y36" t="s">
        <v>51</v>
      </c>
      <c r="Z36" s="1">
        <v>46007</v>
      </c>
      <c r="AA36" t="s">
        <v>50</v>
      </c>
      <c r="AB36" t="s">
        <v>52</v>
      </c>
      <c r="AC36" s="2">
        <v>0.15</v>
      </c>
      <c r="AD36" t="s">
        <v>53</v>
      </c>
      <c r="AE36" t="s">
        <v>271</v>
      </c>
      <c r="AG36" t="s">
        <v>272</v>
      </c>
      <c r="AH36" t="s">
        <v>81</v>
      </c>
      <c r="AI36">
        <v>11235</v>
      </c>
      <c r="AJ36" t="s">
        <v>57</v>
      </c>
      <c r="AK36" t="s">
        <v>58</v>
      </c>
      <c r="AL36" t="s">
        <v>59</v>
      </c>
      <c r="AM36" t="s">
        <v>60</v>
      </c>
      <c r="AN36" t="s">
        <v>61</v>
      </c>
      <c r="AO36" t="s">
        <v>62</v>
      </c>
      <c r="AQ36" t="str">
        <f t="shared" si="2"/>
        <v>227 Brighton Beach Ave , Brooklyn , NY, 11235, Ã‰tats-Unis</v>
      </c>
      <c r="AR36" t="str">
        <f t="shared" si="0"/>
        <v>International Client</v>
      </c>
      <c r="AS36" t="s">
        <v>267</v>
      </c>
      <c r="AT36">
        <v>146736</v>
      </c>
      <c r="AU36" t="str">
        <f t="shared" si="1"/>
        <v>High Client</v>
      </c>
    </row>
    <row r="37" spans="1:47" x14ac:dyDescent="0.25">
      <c r="B37" t="s">
        <v>273</v>
      </c>
      <c r="C37" t="s">
        <v>274</v>
      </c>
      <c r="D37" t="s">
        <v>275</v>
      </c>
      <c r="E37" t="s">
        <v>276</v>
      </c>
      <c r="F37">
        <v>3</v>
      </c>
      <c r="G37" t="s">
        <v>46</v>
      </c>
      <c r="H37" s="1">
        <v>45843</v>
      </c>
      <c r="I37" s="1">
        <v>45843</v>
      </c>
      <c r="J37" s="1">
        <v>45812</v>
      </c>
      <c r="K37" t="s">
        <v>47</v>
      </c>
      <c r="L37" t="s">
        <v>48</v>
      </c>
      <c r="M37" t="s">
        <v>47</v>
      </c>
      <c r="N37" s="1">
        <v>45806</v>
      </c>
      <c r="O37" s="1">
        <v>45812</v>
      </c>
      <c r="P37" t="s">
        <v>46</v>
      </c>
      <c r="Q37" t="s">
        <v>47</v>
      </c>
      <c r="R37" t="s">
        <v>47</v>
      </c>
      <c r="S37" t="s">
        <v>47</v>
      </c>
      <c r="V37" t="s">
        <v>47</v>
      </c>
      <c r="W37" t="s">
        <v>50</v>
      </c>
      <c r="X37" s="1">
        <v>45853</v>
      </c>
      <c r="Y37" t="s">
        <v>51</v>
      </c>
      <c r="Z37" s="1">
        <v>46007</v>
      </c>
      <c r="AA37" t="s">
        <v>50</v>
      </c>
      <c r="AB37" t="s">
        <v>52</v>
      </c>
      <c r="AC37" s="2">
        <v>0.15</v>
      </c>
      <c r="AD37" t="s">
        <v>53</v>
      </c>
      <c r="AE37" t="s">
        <v>277</v>
      </c>
      <c r="AG37" t="s">
        <v>278</v>
      </c>
      <c r="AI37">
        <v>6700</v>
      </c>
      <c r="AJ37" t="s">
        <v>87</v>
      </c>
      <c r="AK37" t="s">
        <v>88</v>
      </c>
      <c r="AL37" t="s">
        <v>59</v>
      </c>
      <c r="AM37" t="s">
        <v>60</v>
      </c>
      <c r="AN37" t="s">
        <v>61</v>
      </c>
      <c r="AO37" t="s">
        <v>62</v>
      </c>
      <c r="AQ37" t="str">
        <f t="shared" si="2"/>
        <v>295 AllÃ©e des Cigales, St Laurent du var, , 6700, France</v>
      </c>
      <c r="AR37" t="str">
        <f t="shared" si="0"/>
        <v>French Client</v>
      </c>
      <c r="AS37" t="s">
        <v>274</v>
      </c>
      <c r="AT37">
        <v>41757</v>
      </c>
      <c r="AU37" t="str">
        <f t="shared" si="1"/>
        <v>Medium Client</v>
      </c>
    </row>
    <row r="38" spans="1:47" x14ac:dyDescent="0.25">
      <c r="B38" t="s">
        <v>279</v>
      </c>
      <c r="C38" t="s">
        <v>64</v>
      </c>
      <c r="D38" t="s">
        <v>280</v>
      </c>
      <c r="E38" t="s">
        <v>281</v>
      </c>
      <c r="F38">
        <v>1</v>
      </c>
      <c r="G38" t="s">
        <v>46</v>
      </c>
      <c r="H38" t="s">
        <v>47</v>
      </c>
      <c r="I38" s="1">
        <v>44584</v>
      </c>
      <c r="J38" s="1">
        <v>44584</v>
      </c>
      <c r="K38" t="s">
        <v>47</v>
      </c>
      <c r="L38" t="s">
        <v>48</v>
      </c>
      <c r="M38" t="s">
        <v>47</v>
      </c>
      <c r="N38" s="1">
        <v>44570</v>
      </c>
      <c r="O38" s="1">
        <v>44584</v>
      </c>
      <c r="P38" t="s">
        <v>46</v>
      </c>
      <c r="Q38" t="s">
        <v>47</v>
      </c>
      <c r="R38" t="s">
        <v>47</v>
      </c>
      <c r="S38" t="s">
        <v>47</v>
      </c>
      <c r="V38" t="s">
        <v>47</v>
      </c>
      <c r="W38" t="s">
        <v>50</v>
      </c>
      <c r="X38" s="1">
        <v>44622</v>
      </c>
      <c r="Y38" t="s">
        <v>51</v>
      </c>
      <c r="Z38" s="1">
        <v>46007</v>
      </c>
      <c r="AA38" t="s">
        <v>50</v>
      </c>
      <c r="AB38" t="s">
        <v>52</v>
      </c>
      <c r="AC38" s="2">
        <v>0.15</v>
      </c>
      <c r="AD38" t="s">
        <v>53</v>
      </c>
      <c r="AE38" t="s">
        <v>282</v>
      </c>
      <c r="AG38" t="s">
        <v>283</v>
      </c>
      <c r="AI38">
        <v>27400</v>
      </c>
      <c r="AJ38" t="s">
        <v>87</v>
      </c>
      <c r="AK38" t="s">
        <v>88</v>
      </c>
      <c r="AL38" t="s">
        <v>59</v>
      </c>
      <c r="AM38" t="s">
        <v>60</v>
      </c>
      <c r="AN38" t="s">
        <v>61</v>
      </c>
      <c r="AO38" t="s">
        <v>62</v>
      </c>
      <c r="AQ38" t="str">
        <f t="shared" si="2"/>
        <v>18 Rue de Louviers, Incarville, , 27400, France</v>
      </c>
      <c r="AR38" t="str">
        <f t="shared" si="0"/>
        <v>French Client</v>
      </c>
      <c r="AS38" t="s">
        <v>64</v>
      </c>
      <c r="AT38">
        <v>15553</v>
      </c>
      <c r="AU38" t="str">
        <f t="shared" si="1"/>
        <v>Medium Client</v>
      </c>
    </row>
    <row r="39" spans="1:47" x14ac:dyDescent="0.25">
      <c r="B39" t="s">
        <v>284</v>
      </c>
      <c r="C39" t="s">
        <v>285</v>
      </c>
      <c r="D39" t="s">
        <v>286</v>
      </c>
      <c r="E39" t="s">
        <v>287</v>
      </c>
      <c r="F39">
        <v>2</v>
      </c>
      <c r="G39" t="s">
        <v>46</v>
      </c>
      <c r="H39" s="1">
        <v>45428</v>
      </c>
      <c r="I39" s="1">
        <v>45428</v>
      </c>
      <c r="J39" s="1">
        <v>45419</v>
      </c>
      <c r="K39" t="s">
        <v>47</v>
      </c>
      <c r="L39" t="s">
        <v>48</v>
      </c>
      <c r="M39" s="1">
        <v>45951</v>
      </c>
      <c r="N39" s="1">
        <v>45282</v>
      </c>
      <c r="O39" s="1">
        <v>45419</v>
      </c>
      <c r="P39" t="s">
        <v>46</v>
      </c>
      <c r="Q39" t="s">
        <v>47</v>
      </c>
      <c r="R39" t="s">
        <v>47</v>
      </c>
      <c r="S39" t="s">
        <v>47</v>
      </c>
      <c r="T39" t="s">
        <v>67</v>
      </c>
      <c r="V39" t="s">
        <v>47</v>
      </c>
      <c r="W39" t="s">
        <v>50</v>
      </c>
      <c r="X39" s="1">
        <v>45455</v>
      </c>
      <c r="Y39" t="s">
        <v>51</v>
      </c>
      <c r="Z39" s="1">
        <v>46007</v>
      </c>
      <c r="AA39" t="s">
        <v>50</v>
      </c>
      <c r="AB39" t="s">
        <v>52</v>
      </c>
      <c r="AC39" s="2">
        <v>0.15</v>
      </c>
      <c r="AD39" t="s">
        <v>53</v>
      </c>
      <c r="AE39" t="s">
        <v>288</v>
      </c>
      <c r="AG39" t="s">
        <v>289</v>
      </c>
      <c r="AI39">
        <v>61200</v>
      </c>
      <c r="AJ39" t="s">
        <v>87</v>
      </c>
      <c r="AK39" t="s">
        <v>88</v>
      </c>
      <c r="AL39" t="s">
        <v>137</v>
      </c>
      <c r="AM39" t="s">
        <v>60</v>
      </c>
      <c r="AN39" t="s">
        <v>61</v>
      </c>
      <c r="AO39" t="s">
        <v>62</v>
      </c>
      <c r="AQ39" t="str">
        <f t="shared" si="2"/>
        <v>17 Place Henri IV, Argentan, , 61200, France</v>
      </c>
      <c r="AR39" t="str">
        <f t="shared" si="0"/>
        <v>French Client</v>
      </c>
      <c r="AS39" t="s">
        <v>285</v>
      </c>
      <c r="AT39">
        <v>77502</v>
      </c>
      <c r="AU39" t="str">
        <f t="shared" si="1"/>
        <v>High Client</v>
      </c>
    </row>
    <row r="40" spans="1:47" x14ac:dyDescent="0.25">
      <c r="B40" t="s">
        <v>290</v>
      </c>
      <c r="C40" t="s">
        <v>64</v>
      </c>
      <c r="D40" t="s">
        <v>291</v>
      </c>
      <c r="E40" t="s">
        <v>292</v>
      </c>
      <c r="F40">
        <v>3</v>
      </c>
      <c r="G40" t="s">
        <v>46</v>
      </c>
      <c r="H40" s="1">
        <v>45911</v>
      </c>
      <c r="I40" s="1">
        <v>45713</v>
      </c>
      <c r="J40" s="1">
        <v>45338</v>
      </c>
      <c r="K40" t="s">
        <v>47</v>
      </c>
      <c r="L40" t="s">
        <v>48</v>
      </c>
      <c r="M40" s="1">
        <v>45713</v>
      </c>
      <c r="N40" s="1">
        <v>44586</v>
      </c>
      <c r="O40" s="1">
        <v>45338</v>
      </c>
      <c r="P40" t="s">
        <v>46</v>
      </c>
      <c r="Q40" t="s">
        <v>47</v>
      </c>
      <c r="R40" t="s">
        <v>47</v>
      </c>
      <c r="S40" t="s">
        <v>47</v>
      </c>
      <c r="T40" t="s">
        <v>67</v>
      </c>
      <c r="V40" t="s">
        <v>47</v>
      </c>
      <c r="W40" t="s">
        <v>50</v>
      </c>
      <c r="X40" s="1">
        <v>45721</v>
      </c>
      <c r="Y40" t="s">
        <v>51</v>
      </c>
      <c r="Z40" s="1">
        <v>46007</v>
      </c>
      <c r="AA40" t="s">
        <v>50</v>
      </c>
      <c r="AB40" t="s">
        <v>52</v>
      </c>
      <c r="AC40" s="2">
        <v>0.15</v>
      </c>
      <c r="AD40" t="s">
        <v>53</v>
      </c>
      <c r="AE40" t="s">
        <v>293</v>
      </c>
      <c r="AG40" t="s">
        <v>294</v>
      </c>
      <c r="AI40">
        <v>35400</v>
      </c>
      <c r="AJ40" t="s">
        <v>87</v>
      </c>
      <c r="AK40" t="s">
        <v>88</v>
      </c>
      <c r="AL40" t="s">
        <v>59</v>
      </c>
      <c r="AM40" t="s">
        <v>60</v>
      </c>
      <c r="AN40" t="s">
        <v>61</v>
      </c>
      <c r="AO40" t="s">
        <v>62</v>
      </c>
      <c r="AQ40" t="str">
        <f t="shared" si="2"/>
        <v>5 Rue du Puits aux Braies, Saint-Malo, , 35400, France</v>
      </c>
      <c r="AR40" t="str">
        <f t="shared" si="0"/>
        <v>French Client</v>
      </c>
      <c r="AS40" t="s">
        <v>64</v>
      </c>
      <c r="AT40">
        <v>69348</v>
      </c>
      <c r="AU40" t="str">
        <f t="shared" si="1"/>
        <v>High Client</v>
      </c>
    </row>
    <row r="41" spans="1:47" x14ac:dyDescent="0.25">
      <c r="B41" t="s">
        <v>295</v>
      </c>
      <c r="C41" t="s">
        <v>64</v>
      </c>
      <c r="D41" t="s">
        <v>296</v>
      </c>
      <c r="E41" t="s">
        <v>297</v>
      </c>
      <c r="F41">
        <v>4</v>
      </c>
      <c r="G41" t="s">
        <v>46</v>
      </c>
      <c r="H41" s="1">
        <v>45978</v>
      </c>
      <c r="I41" s="1">
        <v>45978</v>
      </c>
      <c r="J41" s="1">
        <v>45851</v>
      </c>
      <c r="K41" s="1">
        <v>45855</v>
      </c>
      <c r="L41" t="s">
        <v>48</v>
      </c>
      <c r="M41" t="s">
        <v>47</v>
      </c>
      <c r="N41" s="1">
        <v>45851</v>
      </c>
      <c r="O41" s="1">
        <v>45851</v>
      </c>
      <c r="P41" t="s">
        <v>46</v>
      </c>
      <c r="Q41" t="s">
        <v>47</v>
      </c>
      <c r="R41" t="s">
        <v>47</v>
      </c>
      <c r="S41" t="s">
        <v>47</v>
      </c>
      <c r="V41" t="s">
        <v>47</v>
      </c>
      <c r="W41" t="s">
        <v>50</v>
      </c>
      <c r="X41" s="1">
        <v>45983</v>
      </c>
      <c r="Y41" t="s">
        <v>51</v>
      </c>
      <c r="Z41" s="1">
        <v>46007</v>
      </c>
      <c r="AA41" t="s">
        <v>50</v>
      </c>
      <c r="AB41" t="s">
        <v>52</v>
      </c>
      <c r="AC41" s="2">
        <v>0.15</v>
      </c>
      <c r="AD41" t="s">
        <v>53</v>
      </c>
      <c r="AE41" t="s">
        <v>298</v>
      </c>
      <c r="AG41" t="s">
        <v>299</v>
      </c>
      <c r="AI41">
        <v>94100</v>
      </c>
      <c r="AJ41" t="s">
        <v>87</v>
      </c>
      <c r="AK41" t="s">
        <v>88</v>
      </c>
      <c r="AL41" t="s">
        <v>59</v>
      </c>
      <c r="AM41" t="s">
        <v>60</v>
      </c>
      <c r="AN41" t="s">
        <v>61</v>
      </c>
      <c r="AO41" t="s">
        <v>62</v>
      </c>
      <c r="AQ41" t="str">
        <f t="shared" si="2"/>
        <v>38 Rue Garibaldi, Saint-Maur-des-FossÃ©s, , 94100, France</v>
      </c>
      <c r="AR41" t="str">
        <f t="shared" si="0"/>
        <v>French Client</v>
      </c>
      <c r="AS41" t="s">
        <v>64</v>
      </c>
      <c r="AT41">
        <v>62976</v>
      </c>
      <c r="AU41" t="str">
        <f t="shared" si="1"/>
        <v>High Client</v>
      </c>
    </row>
    <row r="42" spans="1:47" x14ac:dyDescent="0.25">
      <c r="B42" t="s">
        <v>300</v>
      </c>
      <c r="C42" t="s">
        <v>112</v>
      </c>
      <c r="D42" t="s">
        <v>301</v>
      </c>
      <c r="E42" t="s">
        <v>302</v>
      </c>
      <c r="F42">
        <v>2</v>
      </c>
      <c r="G42" t="s">
        <v>46</v>
      </c>
      <c r="H42" s="1">
        <v>45765</v>
      </c>
      <c r="I42" s="1">
        <v>45765</v>
      </c>
      <c r="J42" s="1">
        <v>45370</v>
      </c>
      <c r="K42" t="s">
        <v>47</v>
      </c>
      <c r="L42" t="s">
        <v>48</v>
      </c>
      <c r="M42" t="s">
        <v>47</v>
      </c>
      <c r="N42" s="1">
        <v>45370</v>
      </c>
      <c r="O42" s="1">
        <v>45370</v>
      </c>
      <c r="P42" t="s">
        <v>46</v>
      </c>
      <c r="Q42" t="s">
        <v>47</v>
      </c>
      <c r="R42" t="s">
        <v>47</v>
      </c>
      <c r="S42" t="s">
        <v>47</v>
      </c>
      <c r="V42" t="s">
        <v>47</v>
      </c>
      <c r="W42" t="s">
        <v>50</v>
      </c>
      <c r="X42" s="1">
        <v>45772</v>
      </c>
      <c r="Y42" t="s">
        <v>51</v>
      </c>
      <c r="Z42" s="1">
        <v>45769</v>
      </c>
      <c r="AA42" t="s">
        <v>50</v>
      </c>
      <c r="AB42" t="s">
        <v>52</v>
      </c>
      <c r="AC42" s="2">
        <v>0.15</v>
      </c>
      <c r="AD42" t="s">
        <v>53</v>
      </c>
      <c r="AE42" t="s">
        <v>303</v>
      </c>
      <c r="AG42" t="s">
        <v>304</v>
      </c>
      <c r="AI42">
        <v>30340</v>
      </c>
      <c r="AJ42" t="s">
        <v>87</v>
      </c>
      <c r="AK42" t="s">
        <v>88</v>
      </c>
      <c r="AL42" t="s">
        <v>137</v>
      </c>
      <c r="AM42" t="s">
        <v>60</v>
      </c>
      <c r="AN42" t="s">
        <v>61</v>
      </c>
      <c r="AO42" t="s">
        <v>62</v>
      </c>
      <c r="AQ42" t="str">
        <f t="shared" si="2"/>
        <v>2 K Impasse de l'Escale, Saint-Privat-des-Vieux, , 30340, France</v>
      </c>
      <c r="AR42" t="str">
        <f t="shared" si="0"/>
        <v>French Client</v>
      </c>
      <c r="AS42" t="s">
        <v>112</v>
      </c>
      <c r="AT42">
        <v>24644</v>
      </c>
      <c r="AU42" t="str">
        <f t="shared" si="1"/>
        <v>Medium Client</v>
      </c>
    </row>
    <row r="43" spans="1:47" x14ac:dyDescent="0.25">
      <c r="B43" t="s">
        <v>305</v>
      </c>
      <c r="C43" t="s">
        <v>64</v>
      </c>
      <c r="D43" t="s">
        <v>306</v>
      </c>
      <c r="E43" t="s">
        <v>307</v>
      </c>
      <c r="F43">
        <v>2</v>
      </c>
      <c r="G43" t="s">
        <v>308</v>
      </c>
      <c r="H43" s="1">
        <v>45906</v>
      </c>
      <c r="I43" s="1">
        <v>45703</v>
      </c>
      <c r="J43" s="1">
        <v>45641</v>
      </c>
      <c r="K43" t="s">
        <v>47</v>
      </c>
      <c r="L43" t="s">
        <v>48</v>
      </c>
      <c r="M43" s="1">
        <v>45970</v>
      </c>
      <c r="N43" s="1">
        <v>44825</v>
      </c>
      <c r="O43" s="1">
        <v>45641</v>
      </c>
      <c r="P43" t="s">
        <v>46</v>
      </c>
      <c r="Q43" t="s">
        <v>47</v>
      </c>
      <c r="R43" t="s">
        <v>47</v>
      </c>
      <c r="S43" t="s">
        <v>47</v>
      </c>
      <c r="U43" t="s">
        <v>309</v>
      </c>
      <c r="V43" t="s">
        <v>47</v>
      </c>
      <c r="W43" t="s">
        <v>50</v>
      </c>
      <c r="X43" s="1">
        <v>45709</v>
      </c>
      <c r="Y43" t="s">
        <v>51</v>
      </c>
      <c r="Z43" s="1">
        <v>46007</v>
      </c>
      <c r="AA43" t="s">
        <v>50</v>
      </c>
      <c r="AB43" t="s">
        <v>52</v>
      </c>
      <c r="AC43" s="2">
        <v>0.15</v>
      </c>
      <c r="AD43" t="s">
        <v>53</v>
      </c>
      <c r="AE43" t="s">
        <v>310</v>
      </c>
      <c r="AG43" t="s">
        <v>311</v>
      </c>
      <c r="AI43">
        <v>7090</v>
      </c>
      <c r="AJ43" t="s">
        <v>164</v>
      </c>
      <c r="AK43" t="s">
        <v>88</v>
      </c>
      <c r="AL43" t="s">
        <v>59</v>
      </c>
      <c r="AM43" t="s">
        <v>60</v>
      </c>
      <c r="AN43" t="s">
        <v>61</v>
      </c>
      <c r="AO43" t="s">
        <v>62</v>
      </c>
      <c r="AQ43" t="str">
        <f t="shared" si="2"/>
        <v>38 Rue de Mons, Braine-le-Comte, , 7090, Belgique</v>
      </c>
      <c r="AR43" t="str">
        <f t="shared" si="0"/>
        <v>International Client</v>
      </c>
      <c r="AS43" t="s">
        <v>64</v>
      </c>
      <c r="AT43">
        <v>32794</v>
      </c>
      <c r="AU43" t="str">
        <f t="shared" si="1"/>
        <v>Medium Client</v>
      </c>
    </row>
    <row r="44" spans="1:47" x14ac:dyDescent="0.25">
      <c r="B44" t="s">
        <v>312</v>
      </c>
      <c r="C44" t="s">
        <v>112</v>
      </c>
      <c r="D44" t="s">
        <v>313</v>
      </c>
      <c r="E44" t="s">
        <v>314</v>
      </c>
      <c r="F44">
        <v>2</v>
      </c>
      <c r="G44" t="s">
        <v>46</v>
      </c>
      <c r="H44" s="1">
        <v>45681</v>
      </c>
      <c r="I44" s="1">
        <v>45681</v>
      </c>
      <c r="J44" s="1">
        <v>45546</v>
      </c>
      <c r="K44" t="s">
        <v>47</v>
      </c>
      <c r="L44" t="s">
        <v>48</v>
      </c>
      <c r="M44" s="1">
        <v>45996</v>
      </c>
      <c r="N44" s="1">
        <v>45538</v>
      </c>
      <c r="O44" s="1">
        <v>45546</v>
      </c>
      <c r="P44" t="s">
        <v>46</v>
      </c>
      <c r="Q44" t="s">
        <v>47</v>
      </c>
      <c r="R44" t="s">
        <v>47</v>
      </c>
      <c r="S44" t="s">
        <v>47</v>
      </c>
      <c r="V44" t="s">
        <v>47</v>
      </c>
      <c r="W44" t="s">
        <v>50</v>
      </c>
      <c r="X44" s="1">
        <v>45687</v>
      </c>
      <c r="Y44" t="s">
        <v>51</v>
      </c>
      <c r="Z44" s="1">
        <v>46007</v>
      </c>
      <c r="AA44" t="s">
        <v>50</v>
      </c>
      <c r="AB44" t="s">
        <v>52</v>
      </c>
      <c r="AC44" s="2">
        <v>0.15</v>
      </c>
      <c r="AD44" t="s">
        <v>53</v>
      </c>
      <c r="AE44" t="s">
        <v>315</v>
      </c>
      <c r="AG44" t="s">
        <v>316</v>
      </c>
      <c r="AI44">
        <v>34370</v>
      </c>
      <c r="AJ44" t="s">
        <v>87</v>
      </c>
      <c r="AK44" t="s">
        <v>88</v>
      </c>
      <c r="AL44" t="s">
        <v>59</v>
      </c>
      <c r="AM44" t="s">
        <v>60</v>
      </c>
      <c r="AN44" t="s">
        <v>61</v>
      </c>
      <c r="AO44" t="s">
        <v>62</v>
      </c>
      <c r="AQ44" t="str">
        <f t="shared" si="2"/>
        <v>190 Avenue de Cazouls, Maraussan, , 34370, France</v>
      </c>
      <c r="AR44" t="str">
        <f t="shared" si="0"/>
        <v>French Client</v>
      </c>
      <c r="AS44" t="s">
        <v>112</v>
      </c>
      <c r="AT44">
        <v>59222</v>
      </c>
      <c r="AU44" t="str">
        <f t="shared" si="1"/>
        <v>High Client</v>
      </c>
    </row>
    <row r="45" spans="1:47" x14ac:dyDescent="0.25">
      <c r="B45" t="s">
        <v>317</v>
      </c>
      <c r="C45" t="s">
        <v>64</v>
      </c>
      <c r="D45" t="s">
        <v>318</v>
      </c>
      <c r="E45" t="s">
        <v>319</v>
      </c>
      <c r="F45">
        <v>1</v>
      </c>
      <c r="G45" t="s">
        <v>320</v>
      </c>
      <c r="H45" s="1">
        <v>45773</v>
      </c>
      <c r="I45" s="1">
        <v>45421</v>
      </c>
      <c r="J45" s="1">
        <v>45421</v>
      </c>
      <c r="K45" t="s">
        <v>47</v>
      </c>
      <c r="L45" t="s">
        <v>48</v>
      </c>
      <c r="M45" t="s">
        <v>47</v>
      </c>
      <c r="N45" s="1">
        <v>45219</v>
      </c>
      <c r="O45" s="1">
        <v>45421</v>
      </c>
      <c r="P45" t="s">
        <v>46</v>
      </c>
      <c r="Q45" t="s">
        <v>47</v>
      </c>
      <c r="R45" t="s">
        <v>47</v>
      </c>
      <c r="S45" t="s">
        <v>47</v>
      </c>
      <c r="V45" t="s">
        <v>47</v>
      </c>
      <c r="W45" t="s">
        <v>50</v>
      </c>
      <c r="X45" s="1">
        <v>45433</v>
      </c>
      <c r="Y45" t="s">
        <v>51</v>
      </c>
      <c r="Z45" s="1">
        <v>46007</v>
      </c>
      <c r="AA45" t="s">
        <v>50</v>
      </c>
      <c r="AB45" t="s">
        <v>52</v>
      </c>
      <c r="AC45" s="2">
        <v>0.15</v>
      </c>
      <c r="AD45" t="s">
        <v>53</v>
      </c>
      <c r="AE45" t="s">
        <v>321</v>
      </c>
      <c r="AG45" t="s">
        <v>322</v>
      </c>
      <c r="AI45">
        <v>37510</v>
      </c>
      <c r="AJ45" t="s">
        <v>87</v>
      </c>
      <c r="AK45" t="s">
        <v>88</v>
      </c>
      <c r="AL45" t="s">
        <v>59</v>
      </c>
      <c r="AM45" t="s">
        <v>60</v>
      </c>
      <c r="AN45" t="s">
        <v>61</v>
      </c>
      <c r="AO45" t="s">
        <v>62</v>
      </c>
      <c r="AQ45" t="str">
        <f t="shared" si="2"/>
        <v>2 Rue de la ChÃ¢taigneraie, Ballan-MirÃ©, , 37510, France</v>
      </c>
      <c r="AR45" t="str">
        <f t="shared" si="0"/>
        <v>French Client</v>
      </c>
      <c r="AS45" t="s">
        <v>64</v>
      </c>
      <c r="AT45">
        <v>13158</v>
      </c>
      <c r="AU45" t="str">
        <f t="shared" si="1"/>
        <v>Medium Client</v>
      </c>
    </row>
    <row r="46" spans="1:47" x14ac:dyDescent="0.25">
      <c r="B46" t="s">
        <v>323</v>
      </c>
      <c r="C46" t="s">
        <v>112</v>
      </c>
      <c r="D46" t="s">
        <v>324</v>
      </c>
      <c r="E46" t="s">
        <v>325</v>
      </c>
      <c r="F46">
        <v>2</v>
      </c>
      <c r="G46" t="s">
        <v>46</v>
      </c>
      <c r="H46" s="1">
        <v>45991</v>
      </c>
      <c r="I46" s="1">
        <v>45991</v>
      </c>
      <c r="J46" s="1">
        <v>45909</v>
      </c>
      <c r="K46" s="1">
        <v>45917</v>
      </c>
      <c r="L46" t="s">
        <v>48</v>
      </c>
      <c r="M46" t="s">
        <v>47</v>
      </c>
      <c r="N46" s="1">
        <v>45498</v>
      </c>
      <c r="O46" s="1">
        <v>45909</v>
      </c>
      <c r="P46" t="s">
        <v>46</v>
      </c>
      <c r="Q46" t="s">
        <v>47</v>
      </c>
      <c r="R46" t="s">
        <v>47</v>
      </c>
      <c r="S46" t="s">
        <v>47</v>
      </c>
      <c r="V46" t="s">
        <v>47</v>
      </c>
      <c r="W46" t="s">
        <v>50</v>
      </c>
      <c r="X46" s="1">
        <v>46000</v>
      </c>
      <c r="Y46" t="s">
        <v>51</v>
      </c>
      <c r="Z46" s="1">
        <v>46007</v>
      </c>
      <c r="AA46" t="s">
        <v>50</v>
      </c>
      <c r="AB46" t="s">
        <v>52</v>
      </c>
      <c r="AC46" s="2">
        <v>0.15</v>
      </c>
      <c r="AD46" t="s">
        <v>53</v>
      </c>
      <c r="AE46" t="s">
        <v>326</v>
      </c>
      <c r="AG46" t="s">
        <v>327</v>
      </c>
      <c r="AI46">
        <v>62250</v>
      </c>
      <c r="AJ46" t="s">
        <v>87</v>
      </c>
      <c r="AK46" t="s">
        <v>88</v>
      </c>
      <c r="AL46" t="s">
        <v>59</v>
      </c>
      <c r="AM46" t="s">
        <v>60</v>
      </c>
      <c r="AN46" t="s">
        <v>61</v>
      </c>
      <c r="AO46" t="s">
        <v>62</v>
      </c>
      <c r="AQ46" t="str">
        <f t="shared" si="2"/>
        <v>24 Rue nationale, Marquise, , 62250, France</v>
      </c>
      <c r="AR46" t="str">
        <f t="shared" si="0"/>
        <v>French Client</v>
      </c>
      <c r="AS46" t="s">
        <v>112</v>
      </c>
      <c r="AT46">
        <v>76008</v>
      </c>
      <c r="AU46" t="str">
        <f t="shared" si="1"/>
        <v>High Client</v>
      </c>
    </row>
    <row r="47" spans="1:47" x14ac:dyDescent="0.25">
      <c r="B47" t="s">
        <v>328</v>
      </c>
      <c r="C47" t="s">
        <v>112</v>
      </c>
      <c r="D47" t="s">
        <v>329</v>
      </c>
      <c r="E47" t="s">
        <v>330</v>
      </c>
      <c r="F47">
        <v>1</v>
      </c>
      <c r="G47" t="s">
        <v>49</v>
      </c>
      <c r="H47" t="s">
        <v>47</v>
      </c>
      <c r="I47" s="1">
        <v>45614</v>
      </c>
      <c r="J47" s="1">
        <v>45614</v>
      </c>
      <c r="K47" t="s">
        <v>47</v>
      </c>
      <c r="L47" t="s">
        <v>48</v>
      </c>
      <c r="M47" t="s">
        <v>47</v>
      </c>
      <c r="N47" s="1">
        <v>45533</v>
      </c>
      <c r="O47" s="1">
        <v>45614</v>
      </c>
      <c r="P47" t="s">
        <v>46</v>
      </c>
      <c r="Q47" t="s">
        <v>47</v>
      </c>
      <c r="R47" t="s">
        <v>47</v>
      </c>
      <c r="S47" t="s">
        <v>47</v>
      </c>
      <c r="V47" t="s">
        <v>47</v>
      </c>
      <c r="W47" t="s">
        <v>50</v>
      </c>
      <c r="X47" s="1">
        <v>45623</v>
      </c>
      <c r="Y47" t="s">
        <v>51</v>
      </c>
      <c r="Z47" s="1">
        <v>46007</v>
      </c>
      <c r="AA47" t="s">
        <v>50</v>
      </c>
      <c r="AB47" t="s">
        <v>52</v>
      </c>
      <c r="AC47" s="2">
        <v>0.15</v>
      </c>
      <c r="AD47" t="s">
        <v>53</v>
      </c>
      <c r="AE47" t="s">
        <v>331</v>
      </c>
      <c r="AG47" t="s">
        <v>332</v>
      </c>
      <c r="AI47">
        <v>27450</v>
      </c>
      <c r="AJ47" t="s">
        <v>87</v>
      </c>
      <c r="AK47" t="s">
        <v>88</v>
      </c>
      <c r="AL47" t="s">
        <v>59</v>
      </c>
      <c r="AM47" t="s">
        <v>60</v>
      </c>
      <c r="AN47" t="s">
        <v>61</v>
      </c>
      <c r="AO47" t="s">
        <v>62</v>
      </c>
      <c r="AQ47" t="str">
        <f t="shared" si="2"/>
        <v>65 Rue des DÃ©portÃ©s, Saint-Georges-du-ViÃ¨vre, , 27450, France</v>
      </c>
      <c r="AR47" t="str">
        <f t="shared" si="0"/>
        <v>French Client</v>
      </c>
      <c r="AS47" t="s">
        <v>112</v>
      </c>
      <c r="AT47">
        <v>11424</v>
      </c>
      <c r="AU47" t="str">
        <f t="shared" si="1"/>
        <v>Medium Client</v>
      </c>
    </row>
    <row r="48" spans="1:47" x14ac:dyDescent="0.25">
      <c r="B48" t="s">
        <v>333</v>
      </c>
      <c r="C48" t="s">
        <v>285</v>
      </c>
      <c r="D48" t="s">
        <v>334</v>
      </c>
      <c r="E48" t="s">
        <v>335</v>
      </c>
      <c r="F48">
        <v>1</v>
      </c>
      <c r="G48" t="s">
        <v>46</v>
      </c>
      <c r="H48" s="1">
        <v>45836</v>
      </c>
      <c r="I48" s="1">
        <v>45828</v>
      </c>
      <c r="J48" s="1">
        <v>45828</v>
      </c>
      <c r="K48" t="s">
        <v>47</v>
      </c>
      <c r="L48" t="s">
        <v>48</v>
      </c>
      <c r="M48" t="s">
        <v>47</v>
      </c>
      <c r="N48" s="1">
        <v>44870</v>
      </c>
      <c r="O48" s="1">
        <v>45828</v>
      </c>
      <c r="P48" t="s">
        <v>46</v>
      </c>
      <c r="Q48" t="s">
        <v>47</v>
      </c>
      <c r="R48" t="s">
        <v>47</v>
      </c>
      <c r="S48" t="s">
        <v>47</v>
      </c>
      <c r="V48" t="s">
        <v>47</v>
      </c>
      <c r="W48" t="s">
        <v>50</v>
      </c>
      <c r="X48" s="1">
        <v>45835</v>
      </c>
      <c r="Y48" t="s">
        <v>51</v>
      </c>
      <c r="Z48" s="1">
        <v>46007</v>
      </c>
      <c r="AA48" t="s">
        <v>50</v>
      </c>
      <c r="AB48" t="s">
        <v>52</v>
      </c>
      <c r="AC48" s="2">
        <v>0.15</v>
      </c>
      <c r="AD48" t="s">
        <v>53</v>
      </c>
      <c r="AE48" t="s">
        <v>336</v>
      </c>
      <c r="AG48" t="s">
        <v>337</v>
      </c>
      <c r="AI48">
        <v>85800</v>
      </c>
      <c r="AJ48" t="s">
        <v>87</v>
      </c>
      <c r="AK48" t="s">
        <v>88</v>
      </c>
      <c r="AL48" t="s">
        <v>59</v>
      </c>
      <c r="AM48" t="s">
        <v>60</v>
      </c>
      <c r="AN48" t="s">
        <v>61</v>
      </c>
      <c r="AO48" t="s">
        <v>62</v>
      </c>
      <c r="AQ48" t="str">
        <f t="shared" si="2"/>
        <v>56 Quai de la RÃ©publique, Saint-Gilles-Croix-de-Vie, , 85800, France</v>
      </c>
      <c r="AR48" t="str">
        <f t="shared" si="0"/>
        <v>French Client</v>
      </c>
      <c r="AS48" t="s">
        <v>285</v>
      </c>
      <c r="AT48">
        <v>20832</v>
      </c>
      <c r="AU48" t="str">
        <f t="shared" si="1"/>
        <v>Medium Client</v>
      </c>
    </row>
    <row r="49" spans="1:47" x14ac:dyDescent="0.25">
      <c r="B49" t="s">
        <v>338</v>
      </c>
      <c r="C49" t="s">
        <v>64</v>
      </c>
      <c r="D49" t="s">
        <v>339</v>
      </c>
      <c r="E49" t="s">
        <v>340</v>
      </c>
      <c r="F49">
        <v>1</v>
      </c>
      <c r="G49" t="s">
        <v>49</v>
      </c>
      <c r="H49" t="s">
        <v>47</v>
      </c>
      <c r="I49" s="1">
        <v>45728</v>
      </c>
      <c r="J49" s="1">
        <v>45728</v>
      </c>
      <c r="K49" t="s">
        <v>47</v>
      </c>
      <c r="L49" t="s">
        <v>48</v>
      </c>
      <c r="M49" t="s">
        <v>47</v>
      </c>
      <c r="N49" s="1">
        <v>45396</v>
      </c>
      <c r="O49" s="1">
        <v>45728</v>
      </c>
      <c r="P49" t="s">
        <v>46</v>
      </c>
      <c r="Q49" t="s">
        <v>47</v>
      </c>
      <c r="R49" t="s">
        <v>47</v>
      </c>
      <c r="S49" t="s">
        <v>47</v>
      </c>
      <c r="V49" t="s">
        <v>47</v>
      </c>
      <c r="W49" t="s">
        <v>50</v>
      </c>
      <c r="X49" s="1">
        <v>45733</v>
      </c>
      <c r="Y49" t="s">
        <v>51</v>
      </c>
      <c r="Z49" s="1">
        <v>46007</v>
      </c>
      <c r="AA49" t="s">
        <v>50</v>
      </c>
      <c r="AB49" t="s">
        <v>52</v>
      </c>
      <c r="AC49" s="2">
        <v>0.15</v>
      </c>
      <c r="AD49" t="s">
        <v>53</v>
      </c>
      <c r="AE49" t="s">
        <v>341</v>
      </c>
      <c r="AG49" t="s">
        <v>342</v>
      </c>
      <c r="AI49">
        <v>31330</v>
      </c>
      <c r="AJ49" t="s">
        <v>87</v>
      </c>
      <c r="AK49" t="s">
        <v>88</v>
      </c>
      <c r="AL49" t="s">
        <v>59</v>
      </c>
      <c r="AM49" t="s">
        <v>60</v>
      </c>
      <c r="AN49" t="s">
        <v>61</v>
      </c>
      <c r="AO49" t="s">
        <v>62</v>
      </c>
      <c r="AQ49" t="str">
        <f t="shared" si="2"/>
        <v>536 Chemin de la Peladere, Launac, , 31330, France</v>
      </c>
      <c r="AR49" t="str">
        <f t="shared" si="0"/>
        <v>French Client</v>
      </c>
      <c r="AS49" t="s">
        <v>64</v>
      </c>
      <c r="AT49">
        <v>16608</v>
      </c>
      <c r="AU49" t="str">
        <f t="shared" si="1"/>
        <v>Medium Client</v>
      </c>
    </row>
    <row r="50" spans="1:47" x14ac:dyDescent="0.25">
      <c r="B50" t="s">
        <v>343</v>
      </c>
      <c r="C50" t="s">
        <v>64</v>
      </c>
      <c r="D50" t="s">
        <v>344</v>
      </c>
      <c r="E50" t="s">
        <v>345</v>
      </c>
      <c r="F50">
        <v>1</v>
      </c>
      <c r="G50" t="s">
        <v>46</v>
      </c>
      <c r="H50" t="s">
        <v>47</v>
      </c>
      <c r="I50" s="1">
        <v>45497</v>
      </c>
      <c r="J50" s="1">
        <v>45497</v>
      </c>
      <c r="K50" t="s">
        <v>47</v>
      </c>
      <c r="L50" t="s">
        <v>48</v>
      </c>
      <c r="M50" t="s">
        <v>47</v>
      </c>
      <c r="N50" s="1">
        <v>44671</v>
      </c>
      <c r="O50" s="1">
        <v>45497</v>
      </c>
      <c r="P50" t="s">
        <v>46</v>
      </c>
      <c r="Q50" t="s">
        <v>47</v>
      </c>
      <c r="R50" t="s">
        <v>47</v>
      </c>
      <c r="S50" t="s">
        <v>47</v>
      </c>
      <c r="V50" t="s">
        <v>47</v>
      </c>
      <c r="W50" t="s">
        <v>50</v>
      </c>
      <c r="X50" s="1">
        <v>45503</v>
      </c>
      <c r="Y50" t="s">
        <v>51</v>
      </c>
      <c r="Z50" s="1">
        <v>46007</v>
      </c>
      <c r="AA50" t="s">
        <v>50</v>
      </c>
      <c r="AB50" t="s">
        <v>52</v>
      </c>
      <c r="AC50" s="2">
        <v>0.15</v>
      </c>
      <c r="AD50" t="s">
        <v>53</v>
      </c>
      <c r="AE50" t="s">
        <v>346</v>
      </c>
      <c r="AG50" t="s">
        <v>347</v>
      </c>
      <c r="AI50">
        <v>38440</v>
      </c>
      <c r="AJ50" t="s">
        <v>87</v>
      </c>
      <c r="AK50" t="s">
        <v>88</v>
      </c>
      <c r="AL50" t="s">
        <v>59</v>
      </c>
      <c r="AM50" t="s">
        <v>60</v>
      </c>
      <c r="AN50" t="s">
        <v>61</v>
      </c>
      <c r="AO50" t="s">
        <v>62</v>
      </c>
      <c r="AQ50" t="str">
        <f t="shared" si="2"/>
        <v>69 Rue de la RÃ©publique, Saint-Jean-de-Bournay, , 38440, France</v>
      </c>
      <c r="AR50" t="str">
        <f t="shared" si="0"/>
        <v>French Client</v>
      </c>
      <c r="AS50" t="s">
        <v>64</v>
      </c>
      <c r="AT50">
        <v>35112</v>
      </c>
      <c r="AU50" t="str">
        <f t="shared" si="1"/>
        <v>Medium Client</v>
      </c>
    </row>
    <row r="51" spans="1:47" x14ac:dyDescent="0.25">
      <c r="B51" t="s">
        <v>348</v>
      </c>
      <c r="C51" t="s">
        <v>285</v>
      </c>
      <c r="D51" t="s">
        <v>349</v>
      </c>
      <c r="E51" t="s">
        <v>350</v>
      </c>
      <c r="F51">
        <v>1</v>
      </c>
      <c r="G51" t="s">
        <v>49</v>
      </c>
      <c r="H51" t="s">
        <v>47</v>
      </c>
      <c r="I51" s="1">
        <v>45951</v>
      </c>
      <c r="J51" s="1">
        <v>45951</v>
      </c>
      <c r="K51" s="1">
        <v>45958</v>
      </c>
      <c r="L51" t="s">
        <v>48</v>
      </c>
      <c r="M51" t="s">
        <v>47</v>
      </c>
      <c r="N51" s="1">
        <v>45637</v>
      </c>
      <c r="O51" s="1">
        <v>45951</v>
      </c>
      <c r="P51" t="s">
        <v>46</v>
      </c>
      <c r="Q51" t="s">
        <v>47</v>
      </c>
      <c r="R51" t="s">
        <v>47</v>
      </c>
      <c r="S51" t="s">
        <v>47</v>
      </c>
      <c r="T51" t="s">
        <v>67</v>
      </c>
      <c r="V51" t="s">
        <v>47</v>
      </c>
      <c r="W51" t="s">
        <v>50</v>
      </c>
      <c r="X51" s="1">
        <v>45958</v>
      </c>
      <c r="Y51" t="s">
        <v>51</v>
      </c>
      <c r="Z51" s="1">
        <v>46007</v>
      </c>
      <c r="AA51" t="s">
        <v>50</v>
      </c>
      <c r="AB51" t="s">
        <v>52</v>
      </c>
      <c r="AC51" s="2">
        <v>0.15</v>
      </c>
      <c r="AD51" t="s">
        <v>53</v>
      </c>
      <c r="AE51" t="s">
        <v>351</v>
      </c>
      <c r="AG51" t="s">
        <v>352</v>
      </c>
      <c r="AI51">
        <v>44250</v>
      </c>
      <c r="AJ51" t="s">
        <v>87</v>
      </c>
      <c r="AK51" t="s">
        <v>88</v>
      </c>
      <c r="AL51" t="s">
        <v>59</v>
      </c>
      <c r="AM51" t="s">
        <v>60</v>
      </c>
      <c r="AN51" t="s">
        <v>61</v>
      </c>
      <c r="AO51" t="s">
        <v>62</v>
      </c>
      <c r="AQ51" t="str">
        <f t="shared" si="2"/>
        <v>57 Avenue du PrÃ©sident Roosevelt, Saint-Brevin-les-Pins, , 44250, France</v>
      </c>
      <c r="AR51" t="str">
        <f t="shared" si="0"/>
        <v>French Client</v>
      </c>
      <c r="AS51" t="s">
        <v>285</v>
      </c>
      <c r="AT51">
        <v>21082</v>
      </c>
      <c r="AU51" t="str">
        <f t="shared" si="1"/>
        <v>Medium Client</v>
      </c>
    </row>
    <row r="52" spans="1:47" x14ac:dyDescent="0.25">
      <c r="B52" t="s">
        <v>353</v>
      </c>
      <c r="C52" t="s">
        <v>64</v>
      </c>
      <c r="D52" t="s">
        <v>354</v>
      </c>
      <c r="E52" t="s">
        <v>355</v>
      </c>
      <c r="F52">
        <v>1</v>
      </c>
      <c r="G52" t="s">
        <v>46</v>
      </c>
      <c r="H52" s="1">
        <v>45538</v>
      </c>
      <c r="I52" s="1">
        <v>45496</v>
      </c>
      <c r="J52" s="1">
        <v>45496</v>
      </c>
      <c r="K52" t="s">
        <v>47</v>
      </c>
      <c r="L52" t="s">
        <v>48</v>
      </c>
      <c r="M52" t="s">
        <v>47</v>
      </c>
      <c r="N52" s="1">
        <v>44490</v>
      </c>
      <c r="O52" s="1">
        <v>45496</v>
      </c>
      <c r="P52" t="s">
        <v>46</v>
      </c>
      <c r="Q52" t="s">
        <v>47</v>
      </c>
      <c r="R52" t="s">
        <v>47</v>
      </c>
      <c r="S52" t="s">
        <v>47</v>
      </c>
      <c r="T52" t="s">
        <v>67</v>
      </c>
      <c r="V52" t="s">
        <v>47</v>
      </c>
      <c r="W52" t="s">
        <v>50</v>
      </c>
      <c r="X52" s="1">
        <v>45503</v>
      </c>
      <c r="Y52" t="s">
        <v>51</v>
      </c>
      <c r="Z52" s="1">
        <v>46007</v>
      </c>
      <c r="AA52" t="s">
        <v>50</v>
      </c>
      <c r="AB52" t="s">
        <v>52</v>
      </c>
      <c r="AC52" s="2">
        <v>0.15</v>
      </c>
      <c r="AD52" t="s">
        <v>53</v>
      </c>
      <c r="AE52" t="s">
        <v>356</v>
      </c>
      <c r="AG52" t="s">
        <v>357</v>
      </c>
      <c r="AI52">
        <v>30400</v>
      </c>
      <c r="AJ52" t="s">
        <v>87</v>
      </c>
      <c r="AK52" t="s">
        <v>88</v>
      </c>
      <c r="AL52" t="s">
        <v>59</v>
      </c>
      <c r="AM52" t="s">
        <v>60</v>
      </c>
      <c r="AN52" t="s">
        <v>61</v>
      </c>
      <c r="AO52" t="s">
        <v>62</v>
      </c>
      <c r="AQ52" t="str">
        <f t="shared" si="2"/>
        <v>5 Rue Francis Pouzol, Villeneuve-les-Avignon, , 30400, France</v>
      </c>
      <c r="AR52" t="str">
        <f t="shared" si="0"/>
        <v>French Client</v>
      </c>
      <c r="AS52" t="s">
        <v>64</v>
      </c>
      <c r="AT52">
        <v>40376</v>
      </c>
      <c r="AU52" t="str">
        <f t="shared" si="1"/>
        <v>Medium Client</v>
      </c>
    </row>
    <row r="53" spans="1:47" x14ac:dyDescent="0.25">
      <c r="B53" t="s">
        <v>358</v>
      </c>
      <c r="C53" t="s">
        <v>75</v>
      </c>
      <c r="D53" t="s">
        <v>359</v>
      </c>
      <c r="E53" t="s">
        <v>360</v>
      </c>
      <c r="F53">
        <v>2</v>
      </c>
      <c r="G53" t="s">
        <v>49</v>
      </c>
      <c r="H53" t="s">
        <v>47</v>
      </c>
      <c r="I53" s="1">
        <v>45714</v>
      </c>
      <c r="J53" s="1">
        <v>45706</v>
      </c>
      <c r="K53" t="s">
        <v>47</v>
      </c>
      <c r="L53" t="s">
        <v>48</v>
      </c>
      <c r="M53" s="1">
        <v>45758</v>
      </c>
      <c r="N53" s="1">
        <v>45531</v>
      </c>
      <c r="O53" s="1">
        <v>45706</v>
      </c>
      <c r="P53" t="s">
        <v>46</v>
      </c>
      <c r="Q53" t="s">
        <v>47</v>
      </c>
      <c r="R53" t="s">
        <v>47</v>
      </c>
      <c r="S53" t="s">
        <v>47</v>
      </c>
      <c r="V53" t="s">
        <v>47</v>
      </c>
      <c r="W53" t="s">
        <v>50</v>
      </c>
      <c r="X53" s="1">
        <v>45721</v>
      </c>
      <c r="Y53" t="s">
        <v>51</v>
      </c>
      <c r="Z53" s="1">
        <v>46007</v>
      </c>
      <c r="AA53" t="s">
        <v>50</v>
      </c>
      <c r="AB53" t="s">
        <v>52</v>
      </c>
      <c r="AC53" s="2">
        <v>0.15</v>
      </c>
      <c r="AD53" t="s">
        <v>53</v>
      </c>
      <c r="AE53" t="s">
        <v>361</v>
      </c>
      <c r="AG53" t="s">
        <v>362</v>
      </c>
      <c r="AI53">
        <v>6220</v>
      </c>
      <c r="AJ53" t="s">
        <v>87</v>
      </c>
      <c r="AK53" t="s">
        <v>88</v>
      </c>
      <c r="AL53" t="s">
        <v>59</v>
      </c>
      <c r="AM53" t="s">
        <v>60</v>
      </c>
      <c r="AN53" t="s">
        <v>61</v>
      </c>
      <c r="AO53" t="s">
        <v>62</v>
      </c>
      <c r="AQ53" t="str">
        <f t="shared" si="2"/>
        <v>387 Vieux Chemin du Retenaou, Vallauris, , 6220, France</v>
      </c>
      <c r="AR53" t="str">
        <f t="shared" si="0"/>
        <v>French Client</v>
      </c>
      <c r="AS53" t="s">
        <v>75</v>
      </c>
      <c r="AT53">
        <v>46200</v>
      </c>
      <c r="AU53" t="str">
        <f t="shared" si="1"/>
        <v>Medium Client</v>
      </c>
    </row>
    <row r="54" spans="1:47" x14ac:dyDescent="0.25">
      <c r="B54" t="s">
        <v>363</v>
      </c>
      <c r="C54" t="s">
        <v>64</v>
      </c>
      <c r="D54" t="s">
        <v>364</v>
      </c>
      <c r="E54" t="s">
        <v>365</v>
      </c>
      <c r="F54">
        <v>1</v>
      </c>
      <c r="G54" t="s">
        <v>366</v>
      </c>
      <c r="H54" s="1">
        <v>46004</v>
      </c>
      <c r="I54" s="1">
        <v>45859</v>
      </c>
      <c r="J54" s="1">
        <v>45859</v>
      </c>
      <c r="K54" t="s">
        <v>47</v>
      </c>
      <c r="L54" t="s">
        <v>48</v>
      </c>
      <c r="M54" t="s">
        <v>47</v>
      </c>
      <c r="N54" s="1">
        <v>45471</v>
      </c>
      <c r="O54" s="1">
        <v>45859</v>
      </c>
      <c r="P54" t="s">
        <v>46</v>
      </c>
      <c r="Q54" t="s">
        <v>47</v>
      </c>
      <c r="R54" t="s">
        <v>47</v>
      </c>
      <c r="S54" t="s">
        <v>47</v>
      </c>
      <c r="T54" t="s">
        <v>67</v>
      </c>
      <c r="V54" t="s">
        <v>47</v>
      </c>
      <c r="W54" t="s">
        <v>50</v>
      </c>
      <c r="X54" s="1">
        <v>45862</v>
      </c>
      <c r="Y54" t="s">
        <v>51</v>
      </c>
      <c r="Z54" s="1">
        <v>46007</v>
      </c>
      <c r="AA54" t="s">
        <v>50</v>
      </c>
      <c r="AB54" t="s">
        <v>52</v>
      </c>
      <c r="AC54" s="2">
        <v>0.15</v>
      </c>
      <c r="AD54" t="s">
        <v>53</v>
      </c>
      <c r="AE54" t="s">
        <v>367</v>
      </c>
      <c r="AG54" t="s">
        <v>368</v>
      </c>
      <c r="AI54">
        <v>18520</v>
      </c>
      <c r="AJ54" t="s">
        <v>87</v>
      </c>
      <c r="AK54" t="s">
        <v>88</v>
      </c>
      <c r="AL54" t="s">
        <v>59</v>
      </c>
      <c r="AM54" t="s">
        <v>60</v>
      </c>
      <c r="AN54" t="s">
        <v>61</v>
      </c>
      <c r="AO54" t="s">
        <v>62</v>
      </c>
      <c r="AQ54" t="str">
        <f t="shared" si="2"/>
        <v>3 Rue Yves du Manoir, 18520 AVORD, , 18520, France</v>
      </c>
      <c r="AR54" t="str">
        <f t="shared" si="0"/>
        <v>French Client</v>
      </c>
      <c r="AS54" t="s">
        <v>64</v>
      </c>
      <c r="AT54">
        <v>16284</v>
      </c>
      <c r="AU54" t="str">
        <f t="shared" si="1"/>
        <v>Medium Client</v>
      </c>
    </row>
    <row r="55" spans="1:47" x14ac:dyDescent="0.25">
      <c r="B55" t="s">
        <v>369</v>
      </c>
      <c r="C55" t="s">
        <v>64</v>
      </c>
      <c r="D55" t="s">
        <v>370</v>
      </c>
      <c r="E55" t="s">
        <v>371</v>
      </c>
      <c r="F55">
        <v>1</v>
      </c>
      <c r="G55" t="s">
        <v>371</v>
      </c>
      <c r="H55" s="1">
        <v>45991</v>
      </c>
      <c r="I55" s="1">
        <v>45991</v>
      </c>
      <c r="J55" s="1">
        <v>45991</v>
      </c>
      <c r="K55" s="1">
        <v>45996</v>
      </c>
      <c r="L55" t="s">
        <v>48</v>
      </c>
      <c r="M55" t="s">
        <v>47</v>
      </c>
      <c r="N55" s="1">
        <v>45967</v>
      </c>
      <c r="O55" s="1">
        <v>45991</v>
      </c>
      <c r="P55" t="s">
        <v>46</v>
      </c>
      <c r="Q55" t="s">
        <v>47</v>
      </c>
      <c r="R55" t="s">
        <v>47</v>
      </c>
      <c r="S55" t="s">
        <v>47</v>
      </c>
      <c r="V55" t="s">
        <v>47</v>
      </c>
      <c r="W55" t="s">
        <v>50</v>
      </c>
      <c r="X55" s="1">
        <v>45996</v>
      </c>
      <c r="Y55" t="s">
        <v>51</v>
      </c>
      <c r="Z55" s="1">
        <v>46007</v>
      </c>
      <c r="AA55" t="s">
        <v>50</v>
      </c>
      <c r="AB55" t="s">
        <v>52</v>
      </c>
      <c r="AC55" s="2">
        <v>0.15</v>
      </c>
      <c r="AD55" t="s">
        <v>53</v>
      </c>
      <c r="AE55" t="s">
        <v>372</v>
      </c>
      <c r="AF55">
        <v>1016</v>
      </c>
      <c r="AG55" t="s">
        <v>373</v>
      </c>
      <c r="AI55">
        <v>92400</v>
      </c>
      <c r="AJ55" t="s">
        <v>87</v>
      </c>
      <c r="AK55" t="s">
        <v>88</v>
      </c>
      <c r="AL55" t="s">
        <v>59</v>
      </c>
      <c r="AM55" t="s">
        <v>60</v>
      </c>
      <c r="AN55" t="s">
        <v>61</v>
      </c>
      <c r="AO55" t="s">
        <v>62</v>
      </c>
      <c r="AQ55" t="str">
        <f t="shared" si="2"/>
        <v>18 Rue de Bezons, COURBEVOIE, , 92400, France</v>
      </c>
      <c r="AR55" t="str">
        <f t="shared" si="0"/>
        <v>French Client</v>
      </c>
      <c r="AS55" t="s">
        <v>64</v>
      </c>
      <c r="AT55">
        <v>41800</v>
      </c>
      <c r="AU55" t="str">
        <f t="shared" si="1"/>
        <v>Medium Client</v>
      </c>
    </row>
    <row r="56" spans="1:47" x14ac:dyDescent="0.25">
      <c r="B56" t="s">
        <v>374</v>
      </c>
      <c r="C56" t="s">
        <v>198</v>
      </c>
      <c r="D56" t="s">
        <v>375</v>
      </c>
      <c r="E56" t="s">
        <v>376</v>
      </c>
      <c r="F56">
        <v>8</v>
      </c>
      <c r="G56" t="s">
        <v>377</v>
      </c>
      <c r="H56" s="1">
        <v>46003</v>
      </c>
      <c r="I56" s="1">
        <v>45951</v>
      </c>
      <c r="J56" s="1">
        <v>45437</v>
      </c>
      <c r="K56" s="1">
        <v>45443</v>
      </c>
      <c r="L56" t="s">
        <v>48</v>
      </c>
      <c r="M56" s="1">
        <v>45618</v>
      </c>
      <c r="N56" s="1">
        <v>44692</v>
      </c>
      <c r="O56" s="1">
        <v>45437</v>
      </c>
      <c r="P56" t="s">
        <v>46</v>
      </c>
      <c r="Q56" t="s">
        <v>47</v>
      </c>
      <c r="R56" t="s">
        <v>47</v>
      </c>
      <c r="S56" t="s">
        <v>47</v>
      </c>
      <c r="T56" t="s">
        <v>67</v>
      </c>
      <c r="V56" t="s">
        <v>47</v>
      </c>
      <c r="W56" t="s">
        <v>50</v>
      </c>
      <c r="X56" s="1">
        <v>45958</v>
      </c>
      <c r="Y56" t="s">
        <v>51</v>
      </c>
      <c r="Z56" s="1">
        <v>46007</v>
      </c>
      <c r="AA56" t="s">
        <v>50</v>
      </c>
      <c r="AB56" t="s">
        <v>52</v>
      </c>
      <c r="AC56" s="2">
        <v>0.15</v>
      </c>
      <c r="AD56" t="s">
        <v>53</v>
      </c>
      <c r="AE56" t="s">
        <v>378</v>
      </c>
      <c r="AG56" t="s">
        <v>379</v>
      </c>
      <c r="AI56">
        <v>86000</v>
      </c>
      <c r="AJ56" t="s">
        <v>87</v>
      </c>
      <c r="AK56" t="s">
        <v>88</v>
      </c>
      <c r="AL56" t="s">
        <v>59</v>
      </c>
      <c r="AM56" t="s">
        <v>98</v>
      </c>
      <c r="AN56" t="s">
        <v>61</v>
      </c>
      <c r="AO56" t="s">
        <v>62</v>
      </c>
      <c r="AQ56" t="str">
        <f t="shared" si="2"/>
        <v>21 Rue Gambetta, Poitiers, , 86000, France</v>
      </c>
      <c r="AR56" t="str">
        <f t="shared" si="0"/>
        <v>French Client</v>
      </c>
      <c r="AS56" t="s">
        <v>198</v>
      </c>
      <c r="AT56">
        <v>155486</v>
      </c>
      <c r="AU56" t="str">
        <f t="shared" si="1"/>
        <v>High Client</v>
      </c>
    </row>
    <row r="57" spans="1:47" x14ac:dyDescent="0.25">
      <c r="B57" t="s">
        <v>380</v>
      </c>
      <c r="C57" t="s">
        <v>64</v>
      </c>
      <c r="D57" t="s">
        <v>381</v>
      </c>
      <c r="E57" t="s">
        <v>382</v>
      </c>
      <c r="F57">
        <v>1</v>
      </c>
      <c r="G57" t="s">
        <v>49</v>
      </c>
      <c r="H57" t="s">
        <v>47</v>
      </c>
      <c r="I57" s="1">
        <v>46009</v>
      </c>
      <c r="J57" s="1">
        <v>46009</v>
      </c>
      <c r="K57" t="s">
        <v>47</v>
      </c>
      <c r="L57" t="s">
        <v>48</v>
      </c>
      <c r="M57" t="s">
        <v>47</v>
      </c>
      <c r="N57" s="1">
        <v>44812</v>
      </c>
      <c r="O57" s="1">
        <v>46009</v>
      </c>
      <c r="P57" t="s">
        <v>46</v>
      </c>
      <c r="Q57" t="s">
        <v>47</v>
      </c>
      <c r="R57" t="s">
        <v>47</v>
      </c>
      <c r="S57" t="s">
        <v>47</v>
      </c>
      <c r="V57" t="s">
        <v>47</v>
      </c>
      <c r="W57" t="s">
        <v>50</v>
      </c>
      <c r="X57" t="s">
        <v>47</v>
      </c>
      <c r="Y57" t="s">
        <v>51</v>
      </c>
      <c r="Z57" t="s">
        <v>47</v>
      </c>
      <c r="AA57" t="s">
        <v>50</v>
      </c>
      <c r="AB57" t="s">
        <v>52</v>
      </c>
      <c r="AC57" s="2">
        <v>0.15</v>
      </c>
      <c r="AD57" t="s">
        <v>53</v>
      </c>
      <c r="AE57" t="s">
        <v>383</v>
      </c>
      <c r="AG57" t="s">
        <v>384</v>
      </c>
      <c r="AI57">
        <v>73100</v>
      </c>
      <c r="AJ57" t="s">
        <v>87</v>
      </c>
      <c r="AK57" t="s">
        <v>88</v>
      </c>
      <c r="AL57" t="s">
        <v>59</v>
      </c>
      <c r="AM57" t="s">
        <v>60</v>
      </c>
      <c r="AN57" t="s">
        <v>61</v>
      </c>
      <c r="AO57" t="s">
        <v>62</v>
      </c>
      <c r="AQ57" t="str">
        <f t="shared" si="2"/>
        <v>13 Boulevard Jean Charcot, Aix-les-Bains, , 73100, France</v>
      </c>
      <c r="AR57" t="str">
        <f t="shared" si="0"/>
        <v>French Client</v>
      </c>
      <c r="AS57" t="s">
        <v>64</v>
      </c>
      <c r="AT57">
        <v>15510</v>
      </c>
      <c r="AU57" t="str">
        <f t="shared" si="1"/>
        <v>Medium Client</v>
      </c>
    </row>
    <row r="58" spans="1:47" x14ac:dyDescent="0.25">
      <c r="A58" t="s">
        <v>385</v>
      </c>
      <c r="B58" t="s">
        <v>386</v>
      </c>
      <c r="C58" t="s">
        <v>64</v>
      </c>
      <c r="D58" t="s">
        <v>387</v>
      </c>
      <c r="E58" t="s">
        <v>388</v>
      </c>
      <c r="F58">
        <v>1</v>
      </c>
      <c r="G58" t="s">
        <v>49</v>
      </c>
      <c r="H58" t="s">
        <v>47</v>
      </c>
      <c r="I58" s="1">
        <v>45945</v>
      </c>
      <c r="J58" s="1">
        <v>45945</v>
      </c>
      <c r="K58" s="1">
        <v>45951</v>
      </c>
      <c r="L58" t="s">
        <v>48</v>
      </c>
      <c r="M58" t="s">
        <v>47</v>
      </c>
      <c r="N58" s="1">
        <v>44600</v>
      </c>
      <c r="O58" s="1">
        <v>45945</v>
      </c>
      <c r="P58" t="s">
        <v>46</v>
      </c>
      <c r="Q58" t="s">
        <v>47</v>
      </c>
      <c r="R58" t="s">
        <v>47</v>
      </c>
      <c r="S58" t="s">
        <v>47</v>
      </c>
      <c r="V58" t="s">
        <v>47</v>
      </c>
      <c r="W58" t="s">
        <v>50</v>
      </c>
      <c r="X58" s="1">
        <v>45951</v>
      </c>
      <c r="Y58" t="s">
        <v>51</v>
      </c>
      <c r="Z58" s="1">
        <v>46007</v>
      </c>
      <c r="AA58" t="s">
        <v>117</v>
      </c>
      <c r="AB58" t="s">
        <v>52</v>
      </c>
      <c r="AC58" s="2">
        <v>0</v>
      </c>
      <c r="AD58" t="s">
        <v>53</v>
      </c>
      <c r="AE58" t="s">
        <v>389</v>
      </c>
      <c r="AG58" t="s">
        <v>390</v>
      </c>
      <c r="AI58">
        <v>74330</v>
      </c>
      <c r="AJ58" t="s">
        <v>87</v>
      </c>
      <c r="AK58" t="s">
        <v>88</v>
      </c>
      <c r="AL58" t="s">
        <v>59</v>
      </c>
      <c r="AM58" t="s">
        <v>60</v>
      </c>
      <c r="AN58" t="s">
        <v>61</v>
      </c>
      <c r="AO58" t="s">
        <v>62</v>
      </c>
      <c r="AQ58" t="str">
        <f t="shared" si="2"/>
        <v>1290 Route de Clermont, Sillingy, , 74330, France</v>
      </c>
      <c r="AR58" t="str">
        <f t="shared" si="0"/>
        <v>French Client</v>
      </c>
      <c r="AS58" t="s">
        <v>64</v>
      </c>
      <c r="AT58">
        <v>25896</v>
      </c>
      <c r="AU58" t="str">
        <f t="shared" si="1"/>
        <v>Medium Client</v>
      </c>
    </row>
    <row r="59" spans="1:47" x14ac:dyDescent="0.25">
      <c r="A59" t="s">
        <v>391</v>
      </c>
      <c r="B59" t="s">
        <v>392</v>
      </c>
      <c r="C59" t="s">
        <v>64</v>
      </c>
      <c r="D59" t="s">
        <v>393</v>
      </c>
      <c r="E59" t="s">
        <v>394</v>
      </c>
      <c r="F59">
        <v>1</v>
      </c>
      <c r="G59" t="s">
        <v>46</v>
      </c>
      <c r="H59" s="1">
        <v>45736</v>
      </c>
      <c r="I59" s="1">
        <v>45701</v>
      </c>
      <c r="J59" s="1">
        <v>45701</v>
      </c>
      <c r="K59" t="s">
        <v>47</v>
      </c>
      <c r="L59" t="s">
        <v>48</v>
      </c>
      <c r="M59" s="1">
        <v>45917</v>
      </c>
      <c r="N59" s="1">
        <v>45582</v>
      </c>
      <c r="O59" s="1">
        <v>45701</v>
      </c>
      <c r="P59" t="s">
        <v>46</v>
      </c>
      <c r="Q59" t="s">
        <v>47</v>
      </c>
      <c r="R59" t="s">
        <v>47</v>
      </c>
      <c r="S59" t="s">
        <v>47</v>
      </c>
      <c r="V59" t="s">
        <v>47</v>
      </c>
      <c r="W59" t="s">
        <v>50</v>
      </c>
      <c r="X59" s="1">
        <v>45709</v>
      </c>
      <c r="Y59" t="s">
        <v>51</v>
      </c>
      <c r="Z59" s="1">
        <v>46007</v>
      </c>
      <c r="AA59" t="s">
        <v>117</v>
      </c>
      <c r="AB59" t="s">
        <v>52</v>
      </c>
      <c r="AC59" s="2">
        <v>0</v>
      </c>
      <c r="AD59" t="s">
        <v>53</v>
      </c>
      <c r="AE59" t="s">
        <v>395</v>
      </c>
      <c r="AG59" t="s">
        <v>396</v>
      </c>
      <c r="AI59">
        <v>24240</v>
      </c>
      <c r="AJ59" t="s">
        <v>87</v>
      </c>
      <c r="AK59" t="s">
        <v>88</v>
      </c>
      <c r="AL59" t="s">
        <v>59</v>
      </c>
      <c r="AM59" t="s">
        <v>60</v>
      </c>
      <c r="AN59" t="s">
        <v>61</v>
      </c>
      <c r="AO59" t="s">
        <v>62</v>
      </c>
      <c r="AQ59" t="str">
        <f t="shared" si="2"/>
        <v>192 Impasse Jean Jacques Rousseau, GAGEAC ET ROUILLAC, , 24240, France</v>
      </c>
      <c r="AR59" t="str">
        <f t="shared" si="0"/>
        <v>French Client</v>
      </c>
      <c r="AS59" t="s">
        <v>64</v>
      </c>
      <c r="AT59">
        <v>26622</v>
      </c>
      <c r="AU59" t="str">
        <f t="shared" si="1"/>
        <v>Medium Client</v>
      </c>
    </row>
    <row r="60" spans="1:47" x14ac:dyDescent="0.25">
      <c r="B60" t="s">
        <v>397</v>
      </c>
      <c r="C60" t="s">
        <v>75</v>
      </c>
      <c r="D60" t="s">
        <v>398</v>
      </c>
      <c r="E60" t="s">
        <v>399</v>
      </c>
      <c r="F60">
        <v>1</v>
      </c>
      <c r="G60" t="s">
        <v>46</v>
      </c>
      <c r="H60" t="s">
        <v>47</v>
      </c>
      <c r="I60" s="1">
        <v>44659</v>
      </c>
      <c r="J60" s="1">
        <v>44659</v>
      </c>
      <c r="K60" t="s">
        <v>47</v>
      </c>
      <c r="L60" t="s">
        <v>48</v>
      </c>
      <c r="M60" t="s">
        <v>47</v>
      </c>
      <c r="N60" s="1">
        <v>44658</v>
      </c>
      <c r="O60" s="1">
        <v>44659</v>
      </c>
      <c r="P60" t="s">
        <v>46</v>
      </c>
      <c r="Q60" t="s">
        <v>47</v>
      </c>
      <c r="R60" t="s">
        <v>47</v>
      </c>
      <c r="S60" t="s">
        <v>47</v>
      </c>
      <c r="V60" t="s">
        <v>47</v>
      </c>
      <c r="W60" t="s">
        <v>50</v>
      </c>
      <c r="X60" s="1">
        <v>44693</v>
      </c>
      <c r="Y60" t="s">
        <v>51</v>
      </c>
      <c r="Z60" s="1">
        <v>46007</v>
      </c>
      <c r="AA60" t="s">
        <v>50</v>
      </c>
      <c r="AB60" t="s">
        <v>52</v>
      </c>
      <c r="AC60" s="2">
        <v>0.15</v>
      </c>
      <c r="AD60" t="s">
        <v>53</v>
      </c>
      <c r="AE60" t="s">
        <v>400</v>
      </c>
      <c r="AF60" t="s">
        <v>401</v>
      </c>
      <c r="AG60" t="s">
        <v>402</v>
      </c>
      <c r="AI60">
        <v>14760</v>
      </c>
      <c r="AJ60" t="s">
        <v>87</v>
      </c>
      <c r="AK60" t="s">
        <v>88</v>
      </c>
      <c r="AL60" t="s">
        <v>137</v>
      </c>
      <c r="AM60" t="s">
        <v>98</v>
      </c>
      <c r="AN60" t="s">
        <v>61</v>
      </c>
      <c r="AO60" t="s">
        <v>62</v>
      </c>
      <c r="AQ60" t="str">
        <f t="shared" si="2"/>
        <v>685 rue Jules VÃ©drines, Bretteville sur Odon, , 14760, France</v>
      </c>
      <c r="AR60" t="str">
        <f t="shared" si="0"/>
        <v>French Client</v>
      </c>
      <c r="AS60" t="s">
        <v>75</v>
      </c>
      <c r="AT60">
        <v>24028</v>
      </c>
      <c r="AU60" t="str">
        <f t="shared" si="1"/>
        <v>Medium Client</v>
      </c>
    </row>
    <row r="61" spans="1:47" x14ac:dyDescent="0.25">
      <c r="B61" t="s">
        <v>403</v>
      </c>
      <c r="C61" t="s">
        <v>64</v>
      </c>
      <c r="D61" t="s">
        <v>404</v>
      </c>
      <c r="E61" t="s">
        <v>405</v>
      </c>
      <c r="F61">
        <v>1</v>
      </c>
      <c r="G61" t="s">
        <v>49</v>
      </c>
      <c r="H61" t="s">
        <v>47</v>
      </c>
      <c r="I61" s="1">
        <v>45989</v>
      </c>
      <c r="J61" s="1">
        <v>45989</v>
      </c>
      <c r="K61" s="1">
        <v>45997</v>
      </c>
      <c r="L61" t="s">
        <v>48</v>
      </c>
      <c r="M61" t="s">
        <v>47</v>
      </c>
      <c r="N61" s="1">
        <v>45989</v>
      </c>
      <c r="O61" s="1">
        <v>45989</v>
      </c>
      <c r="P61" t="s">
        <v>46</v>
      </c>
      <c r="Q61" t="s">
        <v>47</v>
      </c>
      <c r="R61" t="s">
        <v>47</v>
      </c>
      <c r="S61" t="s">
        <v>47</v>
      </c>
      <c r="V61" t="s">
        <v>47</v>
      </c>
      <c r="W61" t="s">
        <v>50</v>
      </c>
      <c r="X61" s="1">
        <v>45997</v>
      </c>
      <c r="Y61" t="s">
        <v>51</v>
      </c>
      <c r="Z61" s="1">
        <v>46007</v>
      </c>
      <c r="AA61" t="s">
        <v>50</v>
      </c>
      <c r="AB61" t="s">
        <v>52</v>
      </c>
      <c r="AC61" s="2">
        <v>0.15</v>
      </c>
      <c r="AD61" t="s">
        <v>53</v>
      </c>
      <c r="AE61" t="s">
        <v>406</v>
      </c>
      <c r="AF61" t="s">
        <v>407</v>
      </c>
      <c r="AG61" t="s">
        <v>408</v>
      </c>
      <c r="AI61">
        <v>74500</v>
      </c>
      <c r="AJ61" t="s">
        <v>87</v>
      </c>
      <c r="AK61" t="s">
        <v>88</v>
      </c>
      <c r="AL61" t="s">
        <v>59</v>
      </c>
      <c r="AM61" t="s">
        <v>60</v>
      </c>
      <c r="AN61" t="s">
        <v>61</v>
      </c>
      <c r="AO61" t="s">
        <v>62</v>
      </c>
      <c r="AQ61" t="str">
        <f t="shared" si="2"/>
        <v>22 Rue du Port, Ã‰vian-les-Bains, , 74500, France</v>
      </c>
      <c r="AR61" t="str">
        <f t="shared" si="0"/>
        <v>French Client</v>
      </c>
      <c r="AS61" t="s">
        <v>64</v>
      </c>
      <c r="AT61">
        <v>34260</v>
      </c>
      <c r="AU61" t="str">
        <f t="shared" si="1"/>
        <v>Medium Client</v>
      </c>
    </row>
    <row r="62" spans="1:47" x14ac:dyDescent="0.25">
      <c r="B62" t="s">
        <v>409</v>
      </c>
      <c r="C62" t="s">
        <v>64</v>
      </c>
      <c r="D62" t="s">
        <v>410</v>
      </c>
      <c r="E62" t="s">
        <v>46</v>
      </c>
      <c r="F62">
        <v>0</v>
      </c>
      <c r="G62" t="s">
        <v>46</v>
      </c>
      <c r="H62" t="s">
        <v>47</v>
      </c>
      <c r="I62" t="s">
        <v>47</v>
      </c>
      <c r="J62" t="s">
        <v>47</v>
      </c>
      <c r="K62" t="s">
        <v>47</v>
      </c>
      <c r="L62" t="s">
        <v>48</v>
      </c>
      <c r="M62" t="s">
        <v>47</v>
      </c>
      <c r="N62" s="1">
        <v>44692</v>
      </c>
      <c r="O62" s="1">
        <v>44788</v>
      </c>
      <c r="P62" t="s">
        <v>46</v>
      </c>
      <c r="Q62" t="s">
        <v>47</v>
      </c>
      <c r="R62" t="s">
        <v>47</v>
      </c>
      <c r="S62" t="s">
        <v>47</v>
      </c>
      <c r="V62" t="s">
        <v>47</v>
      </c>
      <c r="W62" t="s">
        <v>50</v>
      </c>
      <c r="X62" t="s">
        <v>47</v>
      </c>
      <c r="Y62" t="s">
        <v>51</v>
      </c>
      <c r="Z62" s="1">
        <v>45902</v>
      </c>
      <c r="AA62" t="s">
        <v>50</v>
      </c>
      <c r="AB62" t="s">
        <v>52</v>
      </c>
      <c r="AC62" s="2">
        <v>0.15</v>
      </c>
      <c r="AD62" t="s">
        <v>53</v>
      </c>
      <c r="AE62" t="s">
        <v>411</v>
      </c>
      <c r="AG62" t="s">
        <v>412</v>
      </c>
      <c r="AI62">
        <v>20200</v>
      </c>
      <c r="AJ62" t="s">
        <v>87</v>
      </c>
      <c r="AK62" t="s">
        <v>88</v>
      </c>
      <c r="AL62" t="s">
        <v>137</v>
      </c>
      <c r="AN62" t="s">
        <v>73</v>
      </c>
      <c r="AO62" t="s">
        <v>62</v>
      </c>
      <c r="AQ62" t="str">
        <f t="shared" si="2"/>
        <v>49 Boulevard du GÃ©nÃ©ral Graziani, Bastia, , 20200, France</v>
      </c>
      <c r="AR62" t="str">
        <f t="shared" si="0"/>
        <v>French Client</v>
      </c>
      <c r="AS62" t="s">
        <v>64</v>
      </c>
      <c r="AT62">
        <v>0</v>
      </c>
      <c r="AU62" t="str">
        <f t="shared" si="1"/>
        <v>Low Client</v>
      </c>
    </row>
    <row r="63" spans="1:47" x14ac:dyDescent="0.25">
      <c r="B63" t="s">
        <v>413</v>
      </c>
      <c r="C63" t="s">
        <v>64</v>
      </c>
      <c r="D63" t="s">
        <v>414</v>
      </c>
      <c r="E63" t="s">
        <v>415</v>
      </c>
      <c r="F63">
        <v>1</v>
      </c>
      <c r="G63" t="s">
        <v>49</v>
      </c>
      <c r="H63" t="s">
        <v>47</v>
      </c>
      <c r="I63" s="1">
        <v>45978</v>
      </c>
      <c r="J63" s="1">
        <v>45978</v>
      </c>
      <c r="K63" s="1">
        <v>45982</v>
      </c>
      <c r="L63" t="s">
        <v>48</v>
      </c>
      <c r="M63" t="s">
        <v>47</v>
      </c>
      <c r="N63" s="1">
        <v>45736</v>
      </c>
      <c r="O63" s="1">
        <v>45978</v>
      </c>
      <c r="P63" t="s">
        <v>46</v>
      </c>
      <c r="Q63" t="s">
        <v>47</v>
      </c>
      <c r="R63" t="s">
        <v>47</v>
      </c>
      <c r="S63" t="s">
        <v>47</v>
      </c>
      <c r="T63" t="s">
        <v>67</v>
      </c>
      <c r="V63" t="s">
        <v>47</v>
      </c>
      <c r="W63" t="s">
        <v>50</v>
      </c>
      <c r="X63" s="1">
        <v>45982</v>
      </c>
      <c r="Y63" t="s">
        <v>51</v>
      </c>
      <c r="Z63" s="1">
        <v>46007</v>
      </c>
      <c r="AA63" t="s">
        <v>50</v>
      </c>
      <c r="AB63" t="s">
        <v>52</v>
      </c>
      <c r="AC63" s="2">
        <v>0.15</v>
      </c>
      <c r="AD63" t="s">
        <v>53</v>
      </c>
      <c r="AE63" t="s">
        <v>416</v>
      </c>
      <c r="AG63" t="s">
        <v>417</v>
      </c>
      <c r="AI63">
        <v>72220</v>
      </c>
      <c r="AJ63" t="s">
        <v>87</v>
      </c>
      <c r="AK63" t="s">
        <v>88</v>
      </c>
      <c r="AL63" t="s">
        <v>59</v>
      </c>
      <c r="AM63" t="s">
        <v>60</v>
      </c>
      <c r="AN63" t="s">
        <v>61</v>
      </c>
      <c r="AO63" t="s">
        <v>62</v>
      </c>
      <c r="AQ63" t="s">
        <v>1359</v>
      </c>
      <c r="AR63" t="str">
        <f t="shared" si="0"/>
        <v>French Client</v>
      </c>
      <c r="AS63" t="s">
        <v>64</v>
      </c>
      <c r="AT63">
        <v>15960</v>
      </c>
      <c r="AU63" t="str">
        <f t="shared" si="1"/>
        <v>Medium Client</v>
      </c>
    </row>
    <row r="64" spans="1:47" x14ac:dyDescent="0.25">
      <c r="B64" t="s">
        <v>418</v>
      </c>
      <c r="C64" t="s">
        <v>198</v>
      </c>
      <c r="D64" t="s">
        <v>419</v>
      </c>
      <c r="E64" t="s">
        <v>420</v>
      </c>
      <c r="F64">
        <v>1</v>
      </c>
      <c r="G64" t="s">
        <v>49</v>
      </c>
      <c r="H64" t="s">
        <v>47</v>
      </c>
      <c r="I64" s="1">
        <v>46007</v>
      </c>
      <c r="J64" s="1">
        <v>46007</v>
      </c>
      <c r="K64" t="s">
        <v>47</v>
      </c>
      <c r="L64" t="s">
        <v>48</v>
      </c>
      <c r="M64" t="s">
        <v>47</v>
      </c>
      <c r="N64" s="1">
        <v>45818</v>
      </c>
      <c r="O64" s="1">
        <v>46007</v>
      </c>
      <c r="P64" t="s">
        <v>46</v>
      </c>
      <c r="Q64" t="s">
        <v>47</v>
      </c>
      <c r="R64" t="s">
        <v>47</v>
      </c>
      <c r="S64" t="s">
        <v>47</v>
      </c>
      <c r="V64" t="s">
        <v>47</v>
      </c>
      <c r="W64" t="s">
        <v>50</v>
      </c>
      <c r="X64" t="s">
        <v>47</v>
      </c>
      <c r="Y64" t="s">
        <v>51</v>
      </c>
      <c r="Z64" t="s">
        <v>47</v>
      </c>
      <c r="AA64" t="s">
        <v>50</v>
      </c>
      <c r="AB64" t="s">
        <v>52</v>
      </c>
      <c r="AC64" s="2">
        <v>0.15</v>
      </c>
      <c r="AD64" t="s">
        <v>53</v>
      </c>
      <c r="AE64" t="s">
        <v>421</v>
      </c>
      <c r="AG64" t="s">
        <v>422</v>
      </c>
      <c r="AI64" t="s">
        <v>423</v>
      </c>
      <c r="AJ64" t="s">
        <v>229</v>
      </c>
      <c r="AK64" t="s">
        <v>230</v>
      </c>
      <c r="AL64" t="s">
        <v>59</v>
      </c>
      <c r="AM64" t="s">
        <v>60</v>
      </c>
      <c r="AN64" t="s">
        <v>61</v>
      </c>
      <c r="AO64" t="s">
        <v>62</v>
      </c>
      <c r="AQ64" t="str">
        <f t="shared" si="2"/>
        <v>81 Hovenstraat, Landgraaf, , 6374 HB, Pays-Bas</v>
      </c>
      <c r="AR64" t="str">
        <f t="shared" si="0"/>
        <v>International Client</v>
      </c>
      <c r="AS64" t="s">
        <v>198</v>
      </c>
      <c r="AT64">
        <v>17358</v>
      </c>
      <c r="AU64" t="str">
        <f t="shared" si="1"/>
        <v>Medium Client</v>
      </c>
    </row>
    <row r="65" spans="1:47" x14ac:dyDescent="0.25">
      <c r="B65" t="s">
        <v>424</v>
      </c>
      <c r="C65" t="s">
        <v>285</v>
      </c>
      <c r="D65" t="s">
        <v>425</v>
      </c>
      <c r="E65" t="s">
        <v>426</v>
      </c>
      <c r="F65">
        <v>1</v>
      </c>
      <c r="G65" t="s">
        <v>46</v>
      </c>
      <c r="H65" t="s">
        <v>47</v>
      </c>
      <c r="I65" s="1">
        <v>45547</v>
      </c>
      <c r="J65" s="1">
        <v>45547</v>
      </c>
      <c r="K65" t="s">
        <v>47</v>
      </c>
      <c r="L65" t="s">
        <v>48</v>
      </c>
      <c r="M65" t="s">
        <v>47</v>
      </c>
      <c r="N65" s="1">
        <v>44640</v>
      </c>
      <c r="O65" s="1">
        <v>45547</v>
      </c>
      <c r="P65" t="s">
        <v>46</v>
      </c>
      <c r="Q65" t="s">
        <v>47</v>
      </c>
      <c r="R65" t="s">
        <v>47</v>
      </c>
      <c r="S65" t="s">
        <v>47</v>
      </c>
      <c r="V65" t="s">
        <v>47</v>
      </c>
      <c r="W65" t="s">
        <v>50</v>
      </c>
      <c r="X65" s="1">
        <v>45560</v>
      </c>
      <c r="Y65" t="s">
        <v>51</v>
      </c>
      <c r="Z65" s="1">
        <v>46007</v>
      </c>
      <c r="AA65" t="s">
        <v>50</v>
      </c>
      <c r="AB65" t="s">
        <v>52</v>
      </c>
      <c r="AC65" s="2">
        <v>0.15</v>
      </c>
      <c r="AD65" t="s">
        <v>53</v>
      </c>
      <c r="AE65" t="s">
        <v>427</v>
      </c>
      <c r="AG65" t="s">
        <v>428</v>
      </c>
      <c r="AI65" t="s">
        <v>429</v>
      </c>
      <c r="AJ65" t="s">
        <v>430</v>
      </c>
      <c r="AK65" t="s">
        <v>88</v>
      </c>
      <c r="AL65" t="s">
        <v>59</v>
      </c>
      <c r="AM65" t="s">
        <v>60</v>
      </c>
      <c r="AN65" t="s">
        <v>61</v>
      </c>
      <c r="AO65" t="s">
        <v>62</v>
      </c>
      <c r="AQ65" t="str">
        <f t="shared" si="2"/>
        <v>Travessa Da Capela, NÂ°70   A, Arcos, , 4480-041, Portugal</v>
      </c>
      <c r="AR65" t="str">
        <f t="shared" si="0"/>
        <v>International Client</v>
      </c>
      <c r="AS65" t="s">
        <v>285</v>
      </c>
      <c r="AT65">
        <v>30798</v>
      </c>
      <c r="AU65" t="str">
        <f t="shared" si="1"/>
        <v>Medium Client</v>
      </c>
    </row>
    <row r="66" spans="1:47" x14ac:dyDescent="0.25">
      <c r="B66" t="s">
        <v>431</v>
      </c>
      <c r="C66" t="s">
        <v>112</v>
      </c>
      <c r="D66" t="s">
        <v>432</v>
      </c>
      <c r="E66" t="s">
        <v>433</v>
      </c>
      <c r="F66">
        <v>5</v>
      </c>
      <c r="G66" t="s">
        <v>434</v>
      </c>
      <c r="H66" s="1">
        <v>45955</v>
      </c>
      <c r="I66" s="1">
        <v>45359</v>
      </c>
      <c r="J66" s="1">
        <v>44827</v>
      </c>
      <c r="K66" t="s">
        <v>47</v>
      </c>
      <c r="L66" t="s">
        <v>48</v>
      </c>
      <c r="M66" s="1">
        <v>45678</v>
      </c>
      <c r="N66" s="1">
        <v>44396</v>
      </c>
      <c r="O66" s="1">
        <v>44827</v>
      </c>
      <c r="P66" t="s">
        <v>46</v>
      </c>
      <c r="Q66" t="s">
        <v>47</v>
      </c>
      <c r="R66" t="s">
        <v>47</v>
      </c>
      <c r="S66" t="s">
        <v>47</v>
      </c>
      <c r="V66" t="s">
        <v>47</v>
      </c>
      <c r="W66" t="s">
        <v>50</v>
      </c>
      <c r="X66" s="1">
        <v>45393</v>
      </c>
      <c r="Y66" t="s">
        <v>51</v>
      </c>
      <c r="Z66" s="1">
        <v>45678</v>
      </c>
      <c r="AA66" t="s">
        <v>50</v>
      </c>
      <c r="AB66" t="s">
        <v>52</v>
      </c>
      <c r="AC66" s="2">
        <v>0.15</v>
      </c>
      <c r="AD66" t="s">
        <v>53</v>
      </c>
      <c r="AE66" t="s">
        <v>435</v>
      </c>
      <c r="AG66" t="s">
        <v>436</v>
      </c>
      <c r="AI66">
        <v>62111</v>
      </c>
      <c r="AJ66" t="s">
        <v>87</v>
      </c>
      <c r="AK66" t="s">
        <v>88</v>
      </c>
      <c r="AL66" t="s">
        <v>137</v>
      </c>
      <c r="AM66" t="s">
        <v>60</v>
      </c>
      <c r="AN66" t="s">
        <v>61</v>
      </c>
      <c r="AO66" t="s">
        <v>62</v>
      </c>
      <c r="AQ66" t="str">
        <f t="shared" si="2"/>
        <v>13 Grand Rue, HÃ©buterne, , 62111, France</v>
      </c>
      <c r="AR66" t="str">
        <f t="shared" si="0"/>
        <v>French Client</v>
      </c>
      <c r="AS66" t="s">
        <v>112</v>
      </c>
      <c r="AT66">
        <v>119626</v>
      </c>
      <c r="AU66" t="str">
        <f t="shared" si="1"/>
        <v>High Client</v>
      </c>
    </row>
    <row r="67" spans="1:47" x14ac:dyDescent="0.25">
      <c r="B67" t="s">
        <v>437</v>
      </c>
      <c r="C67" t="s">
        <v>90</v>
      </c>
      <c r="D67" t="s">
        <v>438</v>
      </c>
      <c r="E67" t="s">
        <v>439</v>
      </c>
      <c r="F67">
        <v>1</v>
      </c>
      <c r="G67" t="s">
        <v>440</v>
      </c>
      <c r="H67" s="1">
        <v>45966</v>
      </c>
      <c r="I67" s="1">
        <v>45365</v>
      </c>
      <c r="J67" s="1">
        <v>45365</v>
      </c>
      <c r="K67" t="s">
        <v>47</v>
      </c>
      <c r="L67" t="s">
        <v>48</v>
      </c>
      <c r="M67" t="s">
        <v>47</v>
      </c>
      <c r="N67" s="1">
        <v>44751</v>
      </c>
      <c r="O67" s="1">
        <v>45365</v>
      </c>
      <c r="P67" t="s">
        <v>441</v>
      </c>
      <c r="Q67" t="s">
        <v>47</v>
      </c>
      <c r="R67" t="s">
        <v>47</v>
      </c>
      <c r="S67" t="s">
        <v>47</v>
      </c>
      <c r="V67" t="s">
        <v>47</v>
      </c>
      <c r="W67" t="s">
        <v>50</v>
      </c>
      <c r="X67" s="1">
        <v>45384</v>
      </c>
      <c r="Y67" t="s">
        <v>51</v>
      </c>
      <c r="Z67" s="1">
        <v>46007</v>
      </c>
      <c r="AA67" t="s">
        <v>50</v>
      </c>
      <c r="AB67" t="s">
        <v>52</v>
      </c>
      <c r="AC67" s="2">
        <v>0.15</v>
      </c>
      <c r="AD67" t="s">
        <v>53</v>
      </c>
      <c r="AE67" t="s">
        <v>442</v>
      </c>
      <c r="AG67" t="s">
        <v>443</v>
      </c>
      <c r="AI67" t="s">
        <v>444</v>
      </c>
      <c r="AJ67" t="s">
        <v>445</v>
      </c>
      <c r="AK67" t="s">
        <v>58</v>
      </c>
      <c r="AL67" t="s">
        <v>59</v>
      </c>
      <c r="AM67" t="s">
        <v>60</v>
      </c>
      <c r="AN67" t="s">
        <v>61</v>
      </c>
      <c r="AO67" t="s">
        <v>62</v>
      </c>
      <c r="AQ67" t="str">
        <f t="shared" ref="AQ67:AQ128" si="3">AE67&amp;", "&amp;AG67&amp;", "&amp;AH67&amp;", "&amp;AI67&amp;", "&amp;AJ67</f>
        <v>123 Main Street, Haworth, , BD22 8DP, Royaume-Uni</v>
      </c>
      <c r="AR67" t="str">
        <f t="shared" ref="AR67:AR128" si="4">IF(UPPER(AJ67)="FRANCE","French Client","International Client")</f>
        <v>International Client</v>
      </c>
      <c r="AS67" t="s">
        <v>90</v>
      </c>
      <c r="AT67">
        <v>19554</v>
      </c>
      <c r="AU67" t="str">
        <f t="shared" ref="AU67:AU128" si="5">IF(AT67=0,"Low Client",IF(AT67&lt;=50000,"Medium Client","High Client"))</f>
        <v>Medium Client</v>
      </c>
    </row>
    <row r="68" spans="1:47" x14ac:dyDescent="0.25">
      <c r="B68" t="s">
        <v>446</v>
      </c>
      <c r="C68" t="s">
        <v>90</v>
      </c>
      <c r="D68" t="s">
        <v>447</v>
      </c>
      <c r="E68" t="s">
        <v>448</v>
      </c>
      <c r="F68">
        <v>7</v>
      </c>
      <c r="G68" t="s">
        <v>46</v>
      </c>
      <c r="H68" s="1">
        <v>45929</v>
      </c>
      <c r="I68" s="1">
        <v>45909</v>
      </c>
      <c r="J68" s="1">
        <v>45499</v>
      </c>
      <c r="K68" s="1">
        <v>45506</v>
      </c>
      <c r="L68" t="s">
        <v>48</v>
      </c>
      <c r="M68" s="1">
        <v>46008</v>
      </c>
      <c r="N68" s="1">
        <v>44821</v>
      </c>
      <c r="O68" s="1">
        <v>45499</v>
      </c>
      <c r="P68" t="s">
        <v>46</v>
      </c>
      <c r="Q68" t="s">
        <v>47</v>
      </c>
      <c r="R68" t="s">
        <v>47</v>
      </c>
      <c r="S68" t="s">
        <v>47</v>
      </c>
      <c r="V68" t="s">
        <v>47</v>
      </c>
      <c r="W68" t="s">
        <v>50</v>
      </c>
      <c r="X68" s="1">
        <v>45918</v>
      </c>
      <c r="Y68" t="s">
        <v>51</v>
      </c>
      <c r="Z68" s="1">
        <v>46008</v>
      </c>
      <c r="AA68" t="s">
        <v>50</v>
      </c>
      <c r="AB68" t="s">
        <v>52</v>
      </c>
      <c r="AC68" s="2">
        <v>0.15</v>
      </c>
      <c r="AD68" t="s">
        <v>53</v>
      </c>
      <c r="AE68" t="s">
        <v>449</v>
      </c>
      <c r="AG68" t="s">
        <v>450</v>
      </c>
      <c r="AI68">
        <v>87700</v>
      </c>
      <c r="AJ68" t="s">
        <v>87</v>
      </c>
      <c r="AK68" t="s">
        <v>88</v>
      </c>
      <c r="AL68" t="s">
        <v>59</v>
      </c>
      <c r="AM68" t="s">
        <v>98</v>
      </c>
      <c r="AN68" t="s">
        <v>61</v>
      </c>
      <c r="AO68" t="s">
        <v>62</v>
      </c>
      <c r="AQ68" t="str">
        <f t="shared" si="3"/>
        <v>65 Avenue du PrÃ©sident Wilson, Aixe-sur-Vienne, , 87700, France</v>
      </c>
      <c r="AR68" t="str">
        <f t="shared" si="4"/>
        <v>French Client</v>
      </c>
      <c r="AS68" t="s">
        <v>90</v>
      </c>
      <c r="AT68">
        <v>213510</v>
      </c>
      <c r="AU68" t="str">
        <f t="shared" si="5"/>
        <v>High Client</v>
      </c>
    </row>
    <row r="69" spans="1:47" x14ac:dyDescent="0.25">
      <c r="B69" t="s">
        <v>451</v>
      </c>
      <c r="C69" t="s">
        <v>64</v>
      </c>
      <c r="D69" t="s">
        <v>452</v>
      </c>
      <c r="E69" t="s">
        <v>453</v>
      </c>
      <c r="F69">
        <v>11</v>
      </c>
      <c r="G69" t="s">
        <v>46</v>
      </c>
      <c r="H69" s="1">
        <v>45990</v>
      </c>
      <c r="I69" s="1">
        <v>45990</v>
      </c>
      <c r="J69" s="1">
        <v>45698</v>
      </c>
      <c r="K69" s="1">
        <v>45709</v>
      </c>
      <c r="L69" t="s">
        <v>48</v>
      </c>
      <c r="M69" t="s">
        <v>47</v>
      </c>
      <c r="N69" s="1">
        <v>44522</v>
      </c>
      <c r="O69" s="1">
        <v>45698</v>
      </c>
      <c r="P69" t="s">
        <v>46</v>
      </c>
      <c r="Q69" t="s">
        <v>47</v>
      </c>
      <c r="R69" t="s">
        <v>47</v>
      </c>
      <c r="S69" t="s">
        <v>47</v>
      </c>
      <c r="T69" t="s">
        <v>67</v>
      </c>
      <c r="U69" t="s">
        <v>93</v>
      </c>
      <c r="V69" t="s">
        <v>47</v>
      </c>
      <c r="W69" t="s">
        <v>50</v>
      </c>
      <c r="X69" s="1">
        <v>45999</v>
      </c>
      <c r="Y69" t="s">
        <v>51</v>
      </c>
      <c r="Z69" s="1">
        <v>46007</v>
      </c>
      <c r="AA69" t="s">
        <v>50</v>
      </c>
      <c r="AB69" t="s">
        <v>52</v>
      </c>
      <c r="AC69" s="2">
        <v>0.15</v>
      </c>
      <c r="AD69" t="s">
        <v>53</v>
      </c>
      <c r="AE69" t="s">
        <v>454</v>
      </c>
      <c r="AG69" t="s">
        <v>455</v>
      </c>
      <c r="AI69">
        <v>1490</v>
      </c>
      <c r="AJ69" t="s">
        <v>164</v>
      </c>
      <c r="AK69" t="s">
        <v>88</v>
      </c>
      <c r="AL69" t="s">
        <v>59</v>
      </c>
      <c r="AM69" t="s">
        <v>60</v>
      </c>
      <c r="AN69" t="s">
        <v>61</v>
      </c>
      <c r="AO69" t="s">
        <v>62</v>
      </c>
      <c r="AQ69" t="str">
        <f t="shared" si="3"/>
        <v>Avenue du Modelage 31, Court saint etienne, , 1490, Belgique</v>
      </c>
      <c r="AR69" t="str">
        <f t="shared" si="4"/>
        <v>International Client</v>
      </c>
      <c r="AS69" t="s">
        <v>64</v>
      </c>
      <c r="AT69">
        <v>335238</v>
      </c>
      <c r="AU69" t="str">
        <f t="shared" si="5"/>
        <v>High Client</v>
      </c>
    </row>
    <row r="70" spans="1:47" x14ac:dyDescent="0.25">
      <c r="B70" t="s">
        <v>456</v>
      </c>
      <c r="C70" t="s">
        <v>112</v>
      </c>
      <c r="D70" t="s">
        <v>457</v>
      </c>
      <c r="E70" t="s">
        <v>458</v>
      </c>
      <c r="F70">
        <v>2</v>
      </c>
      <c r="G70" t="s">
        <v>46</v>
      </c>
      <c r="H70" s="1">
        <v>45609</v>
      </c>
      <c r="I70" s="1">
        <v>44735</v>
      </c>
      <c r="J70" s="1">
        <v>44510</v>
      </c>
      <c r="K70" t="s">
        <v>47</v>
      </c>
      <c r="L70" t="s">
        <v>48</v>
      </c>
      <c r="M70" s="1">
        <v>45559</v>
      </c>
      <c r="N70" s="1">
        <v>44376</v>
      </c>
      <c r="O70" s="1">
        <v>44510</v>
      </c>
      <c r="P70" t="s">
        <v>46</v>
      </c>
      <c r="Q70" t="s">
        <v>47</v>
      </c>
      <c r="R70" t="s">
        <v>47</v>
      </c>
      <c r="S70" t="s">
        <v>47</v>
      </c>
      <c r="T70" t="s">
        <v>67</v>
      </c>
      <c r="U70" t="s">
        <v>93</v>
      </c>
      <c r="V70" t="s">
        <v>47</v>
      </c>
      <c r="W70" t="s">
        <v>50</v>
      </c>
      <c r="X70" s="1">
        <v>44773</v>
      </c>
      <c r="Y70" t="s">
        <v>51</v>
      </c>
      <c r="Z70" s="1">
        <v>46007</v>
      </c>
      <c r="AA70" t="s">
        <v>50</v>
      </c>
      <c r="AB70" t="s">
        <v>52</v>
      </c>
      <c r="AC70" s="2">
        <v>0.15</v>
      </c>
      <c r="AD70" t="s">
        <v>53</v>
      </c>
      <c r="AE70" t="s">
        <v>459</v>
      </c>
      <c r="AG70" t="s">
        <v>460</v>
      </c>
      <c r="AI70">
        <v>58100</v>
      </c>
      <c r="AJ70" t="s">
        <v>96</v>
      </c>
      <c r="AK70" t="s">
        <v>97</v>
      </c>
      <c r="AL70" t="s">
        <v>59</v>
      </c>
      <c r="AM70" t="s">
        <v>98</v>
      </c>
      <c r="AN70" t="s">
        <v>61</v>
      </c>
      <c r="AO70" t="s">
        <v>62</v>
      </c>
      <c r="AQ70" t="str">
        <f t="shared" si="3"/>
        <v>49a Via Guglielmo Oberdan, Grosseto, , 58100, Italie</v>
      </c>
      <c r="AR70" t="str">
        <f t="shared" si="4"/>
        <v>International Client</v>
      </c>
      <c r="AS70" t="s">
        <v>112</v>
      </c>
      <c r="AT70">
        <v>40082</v>
      </c>
      <c r="AU70" t="str">
        <f t="shared" si="5"/>
        <v>Medium Client</v>
      </c>
    </row>
    <row r="71" spans="1:47" x14ac:dyDescent="0.25">
      <c r="B71" t="s">
        <v>461</v>
      </c>
      <c r="C71" t="s">
        <v>112</v>
      </c>
      <c r="D71" t="s">
        <v>462</v>
      </c>
      <c r="E71" t="s">
        <v>463</v>
      </c>
      <c r="F71">
        <v>1</v>
      </c>
      <c r="G71" t="s">
        <v>49</v>
      </c>
      <c r="H71" t="s">
        <v>47</v>
      </c>
      <c r="I71" s="1">
        <v>45799</v>
      </c>
      <c r="J71" s="1">
        <v>45799</v>
      </c>
      <c r="K71" t="s">
        <v>47</v>
      </c>
      <c r="L71" t="s">
        <v>48</v>
      </c>
      <c r="M71" t="s">
        <v>47</v>
      </c>
      <c r="N71" s="1">
        <v>45022</v>
      </c>
      <c r="O71" s="1">
        <v>45799</v>
      </c>
      <c r="P71" t="s">
        <v>46</v>
      </c>
      <c r="Q71" t="s">
        <v>47</v>
      </c>
      <c r="R71" t="s">
        <v>47</v>
      </c>
      <c r="S71" t="s">
        <v>47</v>
      </c>
      <c r="V71" t="s">
        <v>47</v>
      </c>
      <c r="W71" t="s">
        <v>50</v>
      </c>
      <c r="X71" s="1">
        <v>45807</v>
      </c>
      <c r="Y71" t="s">
        <v>51</v>
      </c>
      <c r="Z71" s="1">
        <v>46007</v>
      </c>
      <c r="AA71" t="s">
        <v>50</v>
      </c>
      <c r="AB71" t="s">
        <v>52</v>
      </c>
      <c r="AC71" s="2">
        <v>0.15</v>
      </c>
      <c r="AD71" t="s">
        <v>53</v>
      </c>
      <c r="AE71" t="s">
        <v>464</v>
      </c>
      <c r="AG71" t="s">
        <v>465</v>
      </c>
      <c r="AI71">
        <v>91780</v>
      </c>
      <c r="AJ71" t="s">
        <v>87</v>
      </c>
      <c r="AK71" t="s">
        <v>88</v>
      </c>
      <c r="AL71" t="s">
        <v>59</v>
      </c>
      <c r="AM71" t="s">
        <v>98</v>
      </c>
      <c r="AN71" t="s">
        <v>61</v>
      </c>
      <c r="AO71" t="s">
        <v>62</v>
      </c>
      <c r="AQ71" t="str">
        <f t="shared" si="3"/>
        <v>16 Route de Boutervilliers, Chalo-Saint-Mars, , 91780, France</v>
      </c>
      <c r="AR71" t="str">
        <f t="shared" si="4"/>
        <v>French Client</v>
      </c>
      <c r="AS71" t="s">
        <v>112</v>
      </c>
      <c r="AT71">
        <v>19126</v>
      </c>
      <c r="AU71" t="str">
        <f t="shared" si="5"/>
        <v>Medium Client</v>
      </c>
    </row>
    <row r="72" spans="1:47" x14ac:dyDescent="0.25">
      <c r="B72" t="s">
        <v>466</v>
      </c>
      <c r="C72" t="s">
        <v>43</v>
      </c>
      <c r="D72" t="s">
        <v>467</v>
      </c>
      <c r="E72" t="s">
        <v>468</v>
      </c>
      <c r="F72">
        <v>1</v>
      </c>
      <c r="G72" t="s">
        <v>49</v>
      </c>
      <c r="H72" t="s">
        <v>47</v>
      </c>
      <c r="I72" s="1">
        <v>45891</v>
      </c>
      <c r="J72" s="1">
        <v>45891</v>
      </c>
      <c r="K72" s="1">
        <v>45898</v>
      </c>
      <c r="L72" t="s">
        <v>48</v>
      </c>
      <c r="M72" t="s">
        <v>47</v>
      </c>
      <c r="N72" s="1">
        <v>45126</v>
      </c>
      <c r="O72" s="1">
        <v>45891</v>
      </c>
      <c r="P72" t="s">
        <v>46</v>
      </c>
      <c r="Q72" t="s">
        <v>47</v>
      </c>
      <c r="R72" t="s">
        <v>47</v>
      </c>
      <c r="S72" t="s">
        <v>47</v>
      </c>
      <c r="V72" t="s">
        <v>47</v>
      </c>
      <c r="W72" t="s">
        <v>50</v>
      </c>
      <c r="X72" s="1">
        <v>45898</v>
      </c>
      <c r="Y72" t="s">
        <v>51</v>
      </c>
      <c r="Z72" s="1">
        <v>46007</v>
      </c>
      <c r="AA72" t="s">
        <v>50</v>
      </c>
      <c r="AB72" t="s">
        <v>52</v>
      </c>
      <c r="AC72" s="2">
        <v>0.15</v>
      </c>
      <c r="AD72" t="s">
        <v>53</v>
      </c>
      <c r="AE72" t="s">
        <v>469</v>
      </c>
      <c r="AG72" t="s">
        <v>470</v>
      </c>
      <c r="AI72" t="s">
        <v>471</v>
      </c>
      <c r="AJ72" t="s">
        <v>229</v>
      </c>
      <c r="AK72" t="s">
        <v>230</v>
      </c>
      <c r="AL72" t="s">
        <v>59</v>
      </c>
      <c r="AM72" t="s">
        <v>98</v>
      </c>
      <c r="AN72" t="s">
        <v>61</v>
      </c>
      <c r="AO72" t="s">
        <v>62</v>
      </c>
      <c r="AQ72" t="str">
        <f t="shared" si="3"/>
        <v>25 Lou Costellostraat, Almere, , 1325 CL, Pays-Bas</v>
      </c>
      <c r="AR72" t="str">
        <f t="shared" si="4"/>
        <v>International Client</v>
      </c>
      <c r="AS72" t="s">
        <v>43</v>
      </c>
      <c r="AT72">
        <v>19916</v>
      </c>
      <c r="AU72" t="str">
        <f t="shared" si="5"/>
        <v>Medium Client</v>
      </c>
    </row>
    <row r="73" spans="1:47" x14ac:dyDescent="0.25">
      <c r="B73" t="s">
        <v>472</v>
      </c>
      <c r="C73" t="s">
        <v>112</v>
      </c>
      <c r="D73" t="s">
        <v>473</v>
      </c>
      <c r="E73" t="s">
        <v>474</v>
      </c>
      <c r="F73">
        <v>1</v>
      </c>
      <c r="G73" t="s">
        <v>46</v>
      </c>
      <c r="H73" t="s">
        <v>47</v>
      </c>
      <c r="I73" s="1">
        <v>45386</v>
      </c>
      <c r="J73" s="1">
        <v>45386</v>
      </c>
      <c r="K73" t="s">
        <v>47</v>
      </c>
      <c r="L73" t="s">
        <v>48</v>
      </c>
      <c r="M73" t="s">
        <v>47</v>
      </c>
      <c r="N73" s="1">
        <v>45381</v>
      </c>
      <c r="O73" s="1">
        <v>45386</v>
      </c>
      <c r="P73" t="s">
        <v>46</v>
      </c>
      <c r="Q73" t="s">
        <v>47</v>
      </c>
      <c r="R73" t="s">
        <v>47</v>
      </c>
      <c r="S73" t="s">
        <v>47</v>
      </c>
      <c r="V73" t="s">
        <v>47</v>
      </c>
      <c r="W73" t="s">
        <v>50</v>
      </c>
      <c r="X73" s="1">
        <v>45394</v>
      </c>
      <c r="Y73" t="s">
        <v>51</v>
      </c>
      <c r="Z73" s="1">
        <v>46007</v>
      </c>
      <c r="AA73" t="s">
        <v>50</v>
      </c>
      <c r="AB73" t="s">
        <v>52</v>
      </c>
      <c r="AC73" s="2">
        <v>0.15</v>
      </c>
      <c r="AD73" t="s">
        <v>53</v>
      </c>
      <c r="AE73" t="s">
        <v>475</v>
      </c>
      <c r="AG73" t="s">
        <v>476</v>
      </c>
      <c r="AI73">
        <v>31010</v>
      </c>
      <c r="AJ73" t="s">
        <v>96</v>
      </c>
      <c r="AK73" t="s">
        <v>97</v>
      </c>
      <c r="AL73" t="s">
        <v>59</v>
      </c>
      <c r="AM73" t="s">
        <v>60</v>
      </c>
      <c r="AN73" t="s">
        <v>61</v>
      </c>
      <c r="AO73" t="s">
        <v>62</v>
      </c>
      <c r="AQ73" t="str">
        <f t="shared" si="3"/>
        <v>87 Via Verri, Mareno di Piave, , 31010, Italie</v>
      </c>
      <c r="AR73" t="str">
        <f t="shared" si="4"/>
        <v>International Client</v>
      </c>
      <c r="AS73" t="s">
        <v>112</v>
      </c>
      <c r="AT73">
        <v>14040</v>
      </c>
      <c r="AU73" t="str">
        <f t="shared" si="5"/>
        <v>Medium Client</v>
      </c>
    </row>
    <row r="74" spans="1:47" x14ac:dyDescent="0.25">
      <c r="B74" t="s">
        <v>477</v>
      </c>
      <c r="C74" t="s">
        <v>64</v>
      </c>
      <c r="D74" t="s">
        <v>478</v>
      </c>
      <c r="E74" t="s">
        <v>479</v>
      </c>
      <c r="F74">
        <v>1</v>
      </c>
      <c r="G74" t="s">
        <v>49</v>
      </c>
      <c r="H74" t="s">
        <v>47</v>
      </c>
      <c r="I74" s="1">
        <v>45954</v>
      </c>
      <c r="J74" s="1">
        <v>45954</v>
      </c>
      <c r="K74" s="1">
        <v>45960</v>
      </c>
      <c r="L74" t="s">
        <v>48</v>
      </c>
      <c r="M74" t="s">
        <v>47</v>
      </c>
      <c r="N74" s="1">
        <v>44737</v>
      </c>
      <c r="O74" s="1">
        <v>45954</v>
      </c>
      <c r="P74" t="s">
        <v>46</v>
      </c>
      <c r="Q74" t="s">
        <v>47</v>
      </c>
      <c r="R74" t="s">
        <v>47</v>
      </c>
      <c r="S74" t="s">
        <v>47</v>
      </c>
      <c r="T74" t="s">
        <v>67</v>
      </c>
      <c r="U74" t="s">
        <v>480</v>
      </c>
      <c r="V74" t="s">
        <v>47</v>
      </c>
      <c r="W74" t="s">
        <v>50</v>
      </c>
      <c r="X74" s="1">
        <v>45960</v>
      </c>
      <c r="Y74" t="s">
        <v>51</v>
      </c>
      <c r="Z74" s="1">
        <v>46007</v>
      </c>
      <c r="AA74" t="s">
        <v>50</v>
      </c>
      <c r="AB74" t="s">
        <v>52</v>
      </c>
      <c r="AC74" s="2">
        <v>0.15</v>
      </c>
      <c r="AD74" t="s">
        <v>53</v>
      </c>
      <c r="AE74" t="s">
        <v>481</v>
      </c>
      <c r="AG74" t="s">
        <v>235</v>
      </c>
      <c r="AI74">
        <v>171</v>
      </c>
      <c r="AJ74" t="s">
        <v>96</v>
      </c>
      <c r="AK74" t="s">
        <v>97</v>
      </c>
      <c r="AL74" t="s">
        <v>59</v>
      </c>
      <c r="AM74" t="s">
        <v>60</v>
      </c>
      <c r="AN74" t="s">
        <v>61</v>
      </c>
      <c r="AO74" t="s">
        <v>62</v>
      </c>
      <c r="AQ74" t="str">
        <f t="shared" si="3"/>
        <v>223 Via Olevano Romano, Roma, , 171, Italie</v>
      </c>
      <c r="AR74" t="str">
        <f t="shared" si="4"/>
        <v>International Client</v>
      </c>
      <c r="AS74" t="s">
        <v>64</v>
      </c>
      <c r="AT74">
        <v>15552</v>
      </c>
      <c r="AU74" t="str">
        <f t="shared" si="5"/>
        <v>Medium Client</v>
      </c>
    </row>
    <row r="75" spans="1:47" x14ac:dyDescent="0.25">
      <c r="A75" t="s">
        <v>482</v>
      </c>
      <c r="B75" t="s">
        <v>483</v>
      </c>
      <c r="C75" t="s">
        <v>64</v>
      </c>
      <c r="D75" t="s">
        <v>484</v>
      </c>
      <c r="E75" t="s">
        <v>485</v>
      </c>
      <c r="F75">
        <v>1</v>
      </c>
      <c r="G75" t="s">
        <v>486</v>
      </c>
      <c r="H75" s="1">
        <v>45951</v>
      </c>
      <c r="I75" s="1">
        <v>45854</v>
      </c>
      <c r="J75" s="1">
        <v>45854</v>
      </c>
      <c r="K75" t="s">
        <v>47</v>
      </c>
      <c r="L75" t="s">
        <v>48</v>
      </c>
      <c r="M75" t="s">
        <v>47</v>
      </c>
      <c r="N75" s="1">
        <v>45558</v>
      </c>
      <c r="O75" s="1">
        <v>45854</v>
      </c>
      <c r="P75" t="s">
        <v>46</v>
      </c>
      <c r="Q75" s="1">
        <v>45861</v>
      </c>
      <c r="R75" t="s">
        <v>47</v>
      </c>
      <c r="S75" s="1">
        <v>46219</v>
      </c>
      <c r="T75" t="s">
        <v>487</v>
      </c>
      <c r="V75" t="s">
        <v>47</v>
      </c>
      <c r="W75" t="s">
        <v>116</v>
      </c>
      <c r="X75" s="1">
        <v>45862</v>
      </c>
      <c r="Y75" t="s">
        <v>51</v>
      </c>
      <c r="Z75" s="1">
        <v>46007</v>
      </c>
      <c r="AA75" t="s">
        <v>117</v>
      </c>
      <c r="AB75" t="s">
        <v>52</v>
      </c>
      <c r="AC75" s="2">
        <v>0</v>
      </c>
      <c r="AD75" t="s">
        <v>488</v>
      </c>
      <c r="AE75" t="s">
        <v>489</v>
      </c>
      <c r="AG75" t="s">
        <v>490</v>
      </c>
      <c r="AI75">
        <v>62130</v>
      </c>
      <c r="AJ75" t="s">
        <v>87</v>
      </c>
      <c r="AK75" t="s">
        <v>88</v>
      </c>
      <c r="AL75" t="s">
        <v>137</v>
      </c>
      <c r="AM75" t="s">
        <v>60</v>
      </c>
      <c r="AN75" t="s">
        <v>61</v>
      </c>
      <c r="AO75" t="s">
        <v>62</v>
      </c>
      <c r="AQ75" t="str">
        <f t="shared" si="3"/>
        <v>25 Rue Faidherbe, Saint-Pol-sur-Ternoise, , 62130, France</v>
      </c>
      <c r="AR75" t="str">
        <f t="shared" si="4"/>
        <v>French Client</v>
      </c>
      <c r="AS75" t="s">
        <v>64</v>
      </c>
      <c r="AT75">
        <v>15714</v>
      </c>
      <c r="AU75" t="str">
        <f t="shared" si="5"/>
        <v>Medium Client</v>
      </c>
    </row>
    <row r="76" spans="1:47" x14ac:dyDescent="0.25">
      <c r="B76" t="s">
        <v>491</v>
      </c>
      <c r="C76" t="s">
        <v>112</v>
      </c>
      <c r="D76" t="s">
        <v>492</v>
      </c>
      <c r="E76" t="s">
        <v>493</v>
      </c>
      <c r="F76">
        <v>1</v>
      </c>
      <c r="G76" t="s">
        <v>49</v>
      </c>
      <c r="H76" t="s">
        <v>47</v>
      </c>
      <c r="I76" s="1">
        <v>45678</v>
      </c>
      <c r="J76" s="1">
        <v>45678</v>
      </c>
      <c r="K76" t="s">
        <v>47</v>
      </c>
      <c r="L76" t="s">
        <v>48</v>
      </c>
      <c r="M76" t="s">
        <v>47</v>
      </c>
      <c r="N76" s="1">
        <v>45666</v>
      </c>
      <c r="O76" s="1">
        <v>45678</v>
      </c>
      <c r="P76" t="s">
        <v>46</v>
      </c>
      <c r="Q76" t="s">
        <v>47</v>
      </c>
      <c r="R76" t="s">
        <v>47</v>
      </c>
      <c r="S76" t="s">
        <v>47</v>
      </c>
      <c r="V76" t="s">
        <v>47</v>
      </c>
      <c r="W76" t="s">
        <v>50</v>
      </c>
      <c r="X76" s="1">
        <v>45686</v>
      </c>
      <c r="Y76" t="s">
        <v>51</v>
      </c>
      <c r="Z76" s="1">
        <v>46007</v>
      </c>
      <c r="AA76" t="s">
        <v>50</v>
      </c>
      <c r="AB76" t="s">
        <v>52</v>
      </c>
      <c r="AC76" s="2">
        <v>0.15</v>
      </c>
      <c r="AD76" t="s">
        <v>53</v>
      </c>
      <c r="AE76" t="s">
        <v>494</v>
      </c>
      <c r="AG76" t="s">
        <v>495</v>
      </c>
      <c r="AI76">
        <v>13011</v>
      </c>
      <c r="AJ76" t="s">
        <v>87</v>
      </c>
      <c r="AK76" t="s">
        <v>88</v>
      </c>
      <c r="AL76" t="s">
        <v>59</v>
      </c>
      <c r="AM76" t="s">
        <v>60</v>
      </c>
      <c r="AN76" t="s">
        <v>61</v>
      </c>
      <c r="AO76" t="s">
        <v>62</v>
      </c>
      <c r="AQ76" t="str">
        <f t="shared" si="3"/>
        <v>1 Boulevard Brune, Marseille, , 13011, France</v>
      </c>
      <c r="AR76" t="str">
        <f t="shared" si="4"/>
        <v>French Client</v>
      </c>
      <c r="AS76" t="s">
        <v>112</v>
      </c>
      <c r="AT76">
        <v>17652</v>
      </c>
      <c r="AU76" t="str">
        <f t="shared" si="5"/>
        <v>Medium Client</v>
      </c>
    </row>
    <row r="77" spans="1:47" x14ac:dyDescent="0.25">
      <c r="B77" t="s">
        <v>496</v>
      </c>
      <c r="C77" t="s">
        <v>112</v>
      </c>
      <c r="D77" t="s">
        <v>497</v>
      </c>
      <c r="E77" t="s">
        <v>498</v>
      </c>
      <c r="F77">
        <v>2</v>
      </c>
      <c r="G77" t="s">
        <v>46</v>
      </c>
      <c r="H77" s="1">
        <v>45860</v>
      </c>
      <c r="I77" s="1">
        <v>45661</v>
      </c>
      <c r="J77" s="1">
        <v>45635</v>
      </c>
      <c r="K77" t="s">
        <v>47</v>
      </c>
      <c r="L77" t="s">
        <v>48</v>
      </c>
      <c r="M77" t="s">
        <v>47</v>
      </c>
      <c r="N77" s="1">
        <v>44516</v>
      </c>
      <c r="O77" s="1">
        <v>45635</v>
      </c>
      <c r="P77" t="s">
        <v>46</v>
      </c>
      <c r="Q77" t="s">
        <v>47</v>
      </c>
      <c r="R77" t="s">
        <v>47</v>
      </c>
      <c r="S77" t="s">
        <v>47</v>
      </c>
      <c r="V77" t="s">
        <v>47</v>
      </c>
      <c r="W77" t="s">
        <v>50</v>
      </c>
      <c r="X77" s="1">
        <v>45668</v>
      </c>
      <c r="Y77" t="s">
        <v>51</v>
      </c>
      <c r="Z77" s="1">
        <v>46007</v>
      </c>
      <c r="AA77" t="s">
        <v>50</v>
      </c>
      <c r="AB77" t="s">
        <v>52</v>
      </c>
      <c r="AC77" s="2">
        <v>0.15</v>
      </c>
      <c r="AD77" t="s">
        <v>53</v>
      </c>
      <c r="AE77" t="s">
        <v>499</v>
      </c>
      <c r="AG77" t="s">
        <v>500</v>
      </c>
      <c r="AI77">
        <v>83440</v>
      </c>
      <c r="AJ77" t="s">
        <v>87</v>
      </c>
      <c r="AK77" t="s">
        <v>88</v>
      </c>
      <c r="AL77" t="s">
        <v>59</v>
      </c>
      <c r="AM77" t="s">
        <v>60</v>
      </c>
      <c r="AN77" t="s">
        <v>61</v>
      </c>
      <c r="AO77" t="s">
        <v>62</v>
      </c>
      <c r="AQ77" t="s">
        <v>1367</v>
      </c>
      <c r="AR77" t="str">
        <f t="shared" si="4"/>
        <v>French Client</v>
      </c>
      <c r="AS77" t="s">
        <v>112</v>
      </c>
      <c r="AT77">
        <v>21948</v>
      </c>
      <c r="AU77" t="str">
        <f t="shared" si="5"/>
        <v>Medium Client</v>
      </c>
    </row>
    <row r="78" spans="1:47" x14ac:dyDescent="0.25">
      <c r="B78" t="s">
        <v>501</v>
      </c>
      <c r="C78" t="s">
        <v>285</v>
      </c>
      <c r="D78" t="s">
        <v>502</v>
      </c>
      <c r="E78" t="s">
        <v>503</v>
      </c>
      <c r="F78">
        <v>2</v>
      </c>
      <c r="G78" t="s">
        <v>46</v>
      </c>
      <c r="H78" s="1">
        <v>45998</v>
      </c>
      <c r="I78" s="1">
        <v>45998</v>
      </c>
      <c r="J78" s="1">
        <v>45424</v>
      </c>
      <c r="K78" s="1">
        <v>45433</v>
      </c>
      <c r="L78" t="s">
        <v>48</v>
      </c>
      <c r="M78" s="1">
        <v>45998</v>
      </c>
      <c r="N78" s="1">
        <v>44625</v>
      </c>
      <c r="O78" s="1">
        <v>45424</v>
      </c>
      <c r="P78" t="s">
        <v>46</v>
      </c>
      <c r="Q78" t="s">
        <v>47</v>
      </c>
      <c r="R78" t="s">
        <v>47</v>
      </c>
      <c r="S78" t="s">
        <v>47</v>
      </c>
      <c r="T78" t="s">
        <v>67</v>
      </c>
      <c r="V78" t="s">
        <v>47</v>
      </c>
      <c r="W78" t="s">
        <v>50</v>
      </c>
      <c r="X78" s="1">
        <v>46006</v>
      </c>
      <c r="Y78" t="s">
        <v>51</v>
      </c>
      <c r="Z78" s="1">
        <v>46007</v>
      </c>
      <c r="AA78" t="s">
        <v>50</v>
      </c>
      <c r="AB78" t="s">
        <v>52</v>
      </c>
      <c r="AC78" s="2">
        <v>0.15</v>
      </c>
      <c r="AD78" t="s">
        <v>53</v>
      </c>
      <c r="AE78" t="s">
        <v>504</v>
      </c>
      <c r="AG78" t="s">
        <v>505</v>
      </c>
      <c r="AI78">
        <v>54150</v>
      </c>
      <c r="AJ78" t="s">
        <v>87</v>
      </c>
      <c r="AK78" t="s">
        <v>88</v>
      </c>
      <c r="AL78" t="s">
        <v>59</v>
      </c>
      <c r="AM78" t="s">
        <v>60</v>
      </c>
      <c r="AN78" t="s">
        <v>61</v>
      </c>
      <c r="AO78" t="s">
        <v>62</v>
      </c>
      <c r="AQ78" t="str">
        <f t="shared" si="3"/>
        <v>Avenue Marguerite Puhl DÃ©mange, BRIEY, , 54150, France</v>
      </c>
      <c r="AR78" t="str">
        <f t="shared" si="4"/>
        <v>French Client</v>
      </c>
      <c r="AS78" t="s">
        <v>285</v>
      </c>
      <c r="AT78">
        <v>37978</v>
      </c>
      <c r="AU78" t="str">
        <f t="shared" si="5"/>
        <v>Medium Client</v>
      </c>
    </row>
    <row r="79" spans="1:47" x14ac:dyDescent="0.25">
      <c r="B79" t="s">
        <v>506</v>
      </c>
      <c r="C79" t="s">
        <v>198</v>
      </c>
      <c r="D79" t="s">
        <v>507</v>
      </c>
      <c r="E79" t="s">
        <v>508</v>
      </c>
      <c r="F79">
        <v>3</v>
      </c>
      <c r="G79" t="s">
        <v>46</v>
      </c>
      <c r="H79" s="1">
        <v>45303</v>
      </c>
      <c r="I79" s="1">
        <v>45303</v>
      </c>
      <c r="J79" s="1">
        <v>44754</v>
      </c>
      <c r="K79" t="s">
        <v>47</v>
      </c>
      <c r="L79" t="s">
        <v>48</v>
      </c>
      <c r="M79" t="s">
        <v>47</v>
      </c>
      <c r="N79" s="1">
        <v>44362</v>
      </c>
      <c r="O79" s="1">
        <v>44754</v>
      </c>
      <c r="P79" t="s">
        <v>46</v>
      </c>
      <c r="Q79" t="s">
        <v>47</v>
      </c>
      <c r="R79" t="s">
        <v>47</v>
      </c>
      <c r="S79" t="s">
        <v>47</v>
      </c>
      <c r="V79" t="s">
        <v>47</v>
      </c>
      <c r="W79" t="s">
        <v>50</v>
      </c>
      <c r="X79" s="1">
        <v>45338</v>
      </c>
      <c r="Y79" t="s">
        <v>51</v>
      </c>
      <c r="Z79" s="1">
        <v>45635</v>
      </c>
      <c r="AA79" t="s">
        <v>50</v>
      </c>
      <c r="AB79" t="s">
        <v>52</v>
      </c>
      <c r="AC79" s="2">
        <v>0.15</v>
      </c>
      <c r="AD79" t="s">
        <v>53</v>
      </c>
      <c r="AE79" t="s">
        <v>509</v>
      </c>
      <c r="AG79" t="s">
        <v>510</v>
      </c>
      <c r="AI79">
        <v>95300</v>
      </c>
      <c r="AJ79" t="s">
        <v>87</v>
      </c>
      <c r="AK79" t="s">
        <v>88</v>
      </c>
      <c r="AL79" t="s">
        <v>511</v>
      </c>
      <c r="AM79" t="s">
        <v>60</v>
      </c>
      <c r="AN79" t="s">
        <v>61</v>
      </c>
      <c r="AO79" t="s">
        <v>62</v>
      </c>
      <c r="AQ79" t="str">
        <f t="shared" si="3"/>
        <v>31 Rue de l'HÃ´tel de ville, Pontoise, , 95300, France</v>
      </c>
      <c r="AR79" t="str">
        <f t="shared" si="4"/>
        <v>French Client</v>
      </c>
      <c r="AS79" t="s">
        <v>198</v>
      </c>
      <c r="AT79">
        <v>74406</v>
      </c>
      <c r="AU79" t="str">
        <f t="shared" si="5"/>
        <v>High Client</v>
      </c>
    </row>
    <row r="80" spans="1:47" x14ac:dyDescent="0.25">
      <c r="B80" t="s">
        <v>512</v>
      </c>
      <c r="C80" t="s">
        <v>64</v>
      </c>
      <c r="D80" t="s">
        <v>513</v>
      </c>
      <c r="E80" t="s">
        <v>514</v>
      </c>
      <c r="F80">
        <v>1</v>
      </c>
      <c r="G80" t="s">
        <v>46</v>
      </c>
      <c r="H80" t="s">
        <v>47</v>
      </c>
      <c r="I80" s="1">
        <v>45414</v>
      </c>
      <c r="J80" s="1">
        <v>45414</v>
      </c>
      <c r="K80" t="s">
        <v>47</v>
      </c>
      <c r="L80" t="s">
        <v>48</v>
      </c>
      <c r="M80" t="s">
        <v>47</v>
      </c>
      <c r="N80" s="1">
        <v>45378</v>
      </c>
      <c r="O80" s="1">
        <v>45414</v>
      </c>
      <c r="P80" t="s">
        <v>46</v>
      </c>
      <c r="Q80" t="s">
        <v>47</v>
      </c>
      <c r="R80" t="s">
        <v>47</v>
      </c>
      <c r="S80" t="s">
        <v>47</v>
      </c>
      <c r="V80" t="s">
        <v>47</v>
      </c>
      <c r="W80" t="s">
        <v>50</v>
      </c>
      <c r="X80" s="1">
        <v>45448</v>
      </c>
      <c r="Y80" t="s">
        <v>51</v>
      </c>
      <c r="Z80" s="1">
        <v>46007</v>
      </c>
      <c r="AA80" t="s">
        <v>50</v>
      </c>
      <c r="AB80" t="s">
        <v>52</v>
      </c>
      <c r="AC80" s="2">
        <v>0.15</v>
      </c>
      <c r="AD80" t="s">
        <v>53</v>
      </c>
      <c r="AE80" t="s">
        <v>515</v>
      </c>
      <c r="AF80" t="s">
        <v>516</v>
      </c>
      <c r="AG80" t="s">
        <v>495</v>
      </c>
      <c r="AI80">
        <v>13014</v>
      </c>
      <c r="AJ80" t="s">
        <v>87</v>
      </c>
      <c r="AK80" t="s">
        <v>88</v>
      </c>
      <c r="AL80" t="s">
        <v>59</v>
      </c>
      <c r="AM80" t="s">
        <v>60</v>
      </c>
      <c r="AN80" t="s">
        <v>61</v>
      </c>
      <c r="AO80" t="s">
        <v>62</v>
      </c>
      <c r="AQ80" t="str">
        <f t="shared" si="3"/>
        <v>70 Avenue Claude Monet, Marseille, , 13014, France</v>
      </c>
      <c r="AR80" t="str">
        <f t="shared" si="4"/>
        <v>French Client</v>
      </c>
      <c r="AS80" t="s">
        <v>64</v>
      </c>
      <c r="AT80">
        <v>15428</v>
      </c>
      <c r="AU80" t="str">
        <f t="shared" si="5"/>
        <v>Medium Client</v>
      </c>
    </row>
    <row r="81" spans="1:47" x14ac:dyDescent="0.25">
      <c r="B81" t="s">
        <v>517</v>
      </c>
      <c r="C81" t="s">
        <v>64</v>
      </c>
      <c r="D81" t="s">
        <v>518</v>
      </c>
      <c r="E81" t="s">
        <v>519</v>
      </c>
      <c r="F81">
        <v>4</v>
      </c>
      <c r="G81" t="s">
        <v>46</v>
      </c>
      <c r="H81" s="1">
        <v>45885</v>
      </c>
      <c r="I81" s="1">
        <v>45885</v>
      </c>
      <c r="J81" s="1">
        <v>45772</v>
      </c>
      <c r="K81" s="1">
        <v>45779</v>
      </c>
      <c r="L81" t="s">
        <v>48</v>
      </c>
      <c r="M81" t="s">
        <v>47</v>
      </c>
      <c r="N81" s="1">
        <v>44466</v>
      </c>
      <c r="O81" s="1">
        <v>45772</v>
      </c>
      <c r="P81" t="s">
        <v>46</v>
      </c>
      <c r="Q81" t="s">
        <v>47</v>
      </c>
      <c r="R81" t="s">
        <v>47</v>
      </c>
      <c r="S81" t="s">
        <v>47</v>
      </c>
      <c r="V81" t="s">
        <v>47</v>
      </c>
      <c r="W81" t="s">
        <v>50</v>
      </c>
      <c r="X81" s="1">
        <v>45891</v>
      </c>
      <c r="Y81" t="s">
        <v>51</v>
      </c>
      <c r="Z81" s="1">
        <v>46007</v>
      </c>
      <c r="AA81" t="s">
        <v>50</v>
      </c>
      <c r="AB81" t="s">
        <v>52</v>
      </c>
      <c r="AC81" s="2">
        <v>0.15</v>
      </c>
      <c r="AD81" t="s">
        <v>53</v>
      </c>
      <c r="AE81" t="s">
        <v>520</v>
      </c>
      <c r="AG81" t="s">
        <v>521</v>
      </c>
      <c r="AI81">
        <v>34450</v>
      </c>
      <c r="AJ81" t="s">
        <v>87</v>
      </c>
      <c r="AK81" t="s">
        <v>88</v>
      </c>
      <c r="AL81" t="s">
        <v>59</v>
      </c>
      <c r="AM81" t="s">
        <v>60</v>
      </c>
      <c r="AN81" t="s">
        <v>61</v>
      </c>
      <c r="AO81" t="s">
        <v>62</v>
      </c>
      <c r="AQ81" t="str">
        <f t="shared" si="3"/>
        <v>Avenue de la MÃ©diterranÃ©e, Vias, , 34450, France</v>
      </c>
      <c r="AR81" t="str">
        <f t="shared" si="4"/>
        <v>French Client</v>
      </c>
      <c r="AS81" t="s">
        <v>64</v>
      </c>
      <c r="AT81">
        <v>79800</v>
      </c>
      <c r="AU81" t="str">
        <f t="shared" si="5"/>
        <v>High Client</v>
      </c>
    </row>
    <row r="82" spans="1:47" x14ac:dyDescent="0.25">
      <c r="B82" t="s">
        <v>523</v>
      </c>
      <c r="C82" t="s">
        <v>112</v>
      </c>
      <c r="D82" t="s">
        <v>524</v>
      </c>
      <c r="E82" t="s">
        <v>525</v>
      </c>
      <c r="F82">
        <v>1</v>
      </c>
      <c r="G82" t="s">
        <v>49</v>
      </c>
      <c r="H82" t="s">
        <v>47</v>
      </c>
      <c r="I82" s="1">
        <v>45786</v>
      </c>
      <c r="J82" s="1">
        <v>45786</v>
      </c>
      <c r="K82" t="s">
        <v>47</v>
      </c>
      <c r="L82" t="s">
        <v>48</v>
      </c>
      <c r="M82" t="s">
        <v>47</v>
      </c>
      <c r="N82" s="1">
        <v>44907</v>
      </c>
      <c r="O82" s="1">
        <v>45786</v>
      </c>
      <c r="P82" t="s">
        <v>46</v>
      </c>
      <c r="Q82" t="s">
        <v>47</v>
      </c>
      <c r="R82" t="s">
        <v>47</v>
      </c>
      <c r="S82" t="s">
        <v>47</v>
      </c>
      <c r="V82" t="s">
        <v>47</v>
      </c>
      <c r="W82" t="s">
        <v>50</v>
      </c>
      <c r="X82" s="1">
        <v>45793</v>
      </c>
      <c r="Y82" t="s">
        <v>51</v>
      </c>
      <c r="Z82" s="1">
        <v>46007</v>
      </c>
      <c r="AA82" t="s">
        <v>50</v>
      </c>
      <c r="AB82" t="s">
        <v>52</v>
      </c>
      <c r="AC82" s="2">
        <v>0.15</v>
      </c>
      <c r="AD82" t="s">
        <v>53</v>
      </c>
      <c r="AE82" t="s">
        <v>526</v>
      </c>
      <c r="AG82" t="s">
        <v>527</v>
      </c>
      <c r="AI82">
        <v>27520</v>
      </c>
      <c r="AJ82" t="s">
        <v>87</v>
      </c>
      <c r="AK82" t="s">
        <v>88</v>
      </c>
      <c r="AL82" t="s">
        <v>137</v>
      </c>
      <c r="AM82" t="s">
        <v>60</v>
      </c>
      <c r="AN82" t="s">
        <v>61</v>
      </c>
      <c r="AO82" t="s">
        <v>62</v>
      </c>
      <c r="AQ82" t="str">
        <f t="shared" si="3"/>
        <v>127 Rue du Neubourg, Grand Bourgtheroulde, , 27520, France</v>
      </c>
      <c r="AR82" t="str">
        <f t="shared" si="4"/>
        <v>French Client</v>
      </c>
      <c r="AS82" t="s">
        <v>112</v>
      </c>
      <c r="AT82">
        <v>15030</v>
      </c>
      <c r="AU82" t="str">
        <f t="shared" si="5"/>
        <v>Medium Client</v>
      </c>
    </row>
    <row r="83" spans="1:47" x14ac:dyDescent="0.25">
      <c r="B83" t="s">
        <v>528</v>
      </c>
      <c r="C83" t="s">
        <v>64</v>
      </c>
      <c r="D83" t="s">
        <v>529</v>
      </c>
      <c r="E83" t="s">
        <v>530</v>
      </c>
      <c r="F83">
        <v>1</v>
      </c>
      <c r="G83" t="s">
        <v>49</v>
      </c>
      <c r="H83" t="s">
        <v>47</v>
      </c>
      <c r="I83" s="1">
        <v>45788</v>
      </c>
      <c r="J83" s="1">
        <v>45788</v>
      </c>
      <c r="K83" t="s">
        <v>47</v>
      </c>
      <c r="L83" t="s">
        <v>48</v>
      </c>
      <c r="M83" t="s">
        <v>47</v>
      </c>
      <c r="N83" s="1">
        <v>45172</v>
      </c>
      <c r="O83" s="1">
        <v>45788</v>
      </c>
      <c r="P83" t="s">
        <v>46</v>
      </c>
      <c r="Q83" t="s">
        <v>47</v>
      </c>
      <c r="R83" t="s">
        <v>47</v>
      </c>
      <c r="S83" t="s">
        <v>47</v>
      </c>
      <c r="V83" t="s">
        <v>47</v>
      </c>
      <c r="W83" t="s">
        <v>50</v>
      </c>
      <c r="X83" s="1">
        <v>45793</v>
      </c>
      <c r="Y83" t="s">
        <v>51</v>
      </c>
      <c r="Z83" s="1">
        <v>46007</v>
      </c>
      <c r="AA83" t="s">
        <v>50</v>
      </c>
      <c r="AB83" t="s">
        <v>52</v>
      </c>
      <c r="AC83" s="2">
        <v>0.15</v>
      </c>
      <c r="AD83" t="s">
        <v>53</v>
      </c>
      <c r="AE83" t="s">
        <v>531</v>
      </c>
      <c r="AG83" t="s">
        <v>532</v>
      </c>
      <c r="AI83">
        <v>59158</v>
      </c>
      <c r="AJ83" t="s">
        <v>87</v>
      </c>
      <c r="AK83" t="s">
        <v>88</v>
      </c>
      <c r="AL83" t="s">
        <v>137</v>
      </c>
      <c r="AM83" t="s">
        <v>60</v>
      </c>
      <c r="AN83" t="s">
        <v>61</v>
      </c>
      <c r="AO83" t="s">
        <v>62</v>
      </c>
      <c r="AQ83" t="str">
        <f t="shared" si="3"/>
        <v>55 Rue du Grand Manoir, Thun-Saint-Amand, , 59158, France</v>
      </c>
      <c r="AR83" t="str">
        <f t="shared" si="4"/>
        <v>French Client</v>
      </c>
      <c r="AS83" t="s">
        <v>64</v>
      </c>
      <c r="AT83">
        <v>30342</v>
      </c>
      <c r="AU83" t="str">
        <f t="shared" si="5"/>
        <v>Medium Client</v>
      </c>
    </row>
    <row r="84" spans="1:47" x14ac:dyDescent="0.25">
      <c r="B84" t="s">
        <v>535</v>
      </c>
      <c r="C84" t="s">
        <v>75</v>
      </c>
      <c r="D84" t="s">
        <v>536</v>
      </c>
      <c r="E84" t="s">
        <v>537</v>
      </c>
      <c r="F84">
        <v>1</v>
      </c>
      <c r="G84" t="s">
        <v>49</v>
      </c>
      <c r="H84" t="s">
        <v>47</v>
      </c>
      <c r="I84" s="1">
        <v>45558</v>
      </c>
      <c r="J84" s="1">
        <v>45558</v>
      </c>
      <c r="K84" t="s">
        <v>47</v>
      </c>
      <c r="L84" t="s">
        <v>48</v>
      </c>
      <c r="M84" t="s">
        <v>47</v>
      </c>
      <c r="N84" s="1">
        <v>44666</v>
      </c>
      <c r="O84" s="1">
        <v>45558</v>
      </c>
      <c r="P84" t="s">
        <v>46</v>
      </c>
      <c r="Q84" t="s">
        <v>47</v>
      </c>
      <c r="R84" t="s">
        <v>47</v>
      </c>
      <c r="S84" t="s">
        <v>47</v>
      </c>
      <c r="V84" t="s">
        <v>47</v>
      </c>
      <c r="W84" t="s">
        <v>50</v>
      </c>
      <c r="X84" s="1">
        <v>45566</v>
      </c>
      <c r="Y84" t="s">
        <v>51</v>
      </c>
      <c r="Z84" s="1">
        <v>46007</v>
      </c>
      <c r="AA84" t="s">
        <v>50</v>
      </c>
      <c r="AB84" t="s">
        <v>52</v>
      </c>
      <c r="AC84" s="2">
        <v>0.15</v>
      </c>
      <c r="AD84" t="s">
        <v>53</v>
      </c>
      <c r="AE84" t="s">
        <v>538</v>
      </c>
      <c r="AG84" t="s">
        <v>539</v>
      </c>
      <c r="AI84">
        <v>91290</v>
      </c>
      <c r="AJ84" t="s">
        <v>87</v>
      </c>
      <c r="AK84" t="s">
        <v>88</v>
      </c>
      <c r="AL84" t="s">
        <v>59</v>
      </c>
      <c r="AM84" t="s">
        <v>60</v>
      </c>
      <c r="AN84" t="s">
        <v>61</v>
      </c>
      <c r="AO84" t="s">
        <v>62</v>
      </c>
      <c r="AQ84" t="str">
        <f t="shared" si="3"/>
        <v>47 Grande Rue, Arpajon, , 91290, France</v>
      </c>
      <c r="AR84" t="str">
        <f t="shared" si="4"/>
        <v>French Client</v>
      </c>
      <c r="AS84" t="s">
        <v>75</v>
      </c>
      <c r="AT84">
        <v>19710</v>
      </c>
      <c r="AU84" t="str">
        <f t="shared" si="5"/>
        <v>Medium Client</v>
      </c>
    </row>
    <row r="85" spans="1:47" x14ac:dyDescent="0.25">
      <c r="B85" t="s">
        <v>540</v>
      </c>
      <c r="C85" t="s">
        <v>112</v>
      </c>
      <c r="D85" t="s">
        <v>541</v>
      </c>
      <c r="E85" t="s">
        <v>542</v>
      </c>
      <c r="F85">
        <v>1</v>
      </c>
      <c r="G85" t="s">
        <v>46</v>
      </c>
      <c r="H85" t="s">
        <v>47</v>
      </c>
      <c r="I85" s="1">
        <v>45482</v>
      </c>
      <c r="J85" s="1">
        <v>45482</v>
      </c>
      <c r="K85" t="s">
        <v>47</v>
      </c>
      <c r="L85" t="s">
        <v>48</v>
      </c>
      <c r="M85" s="1">
        <v>45559</v>
      </c>
      <c r="N85" s="1">
        <v>45481</v>
      </c>
      <c r="O85" s="1">
        <v>45482</v>
      </c>
      <c r="P85" t="s">
        <v>543</v>
      </c>
      <c r="Q85" t="s">
        <v>47</v>
      </c>
      <c r="R85" t="s">
        <v>47</v>
      </c>
      <c r="S85" t="s">
        <v>47</v>
      </c>
      <c r="V85" t="s">
        <v>47</v>
      </c>
      <c r="W85" t="s">
        <v>50</v>
      </c>
      <c r="X85" s="1">
        <v>45504</v>
      </c>
      <c r="Y85" t="s">
        <v>51</v>
      </c>
      <c r="Z85" s="1">
        <v>45559</v>
      </c>
      <c r="AA85" t="s">
        <v>50</v>
      </c>
      <c r="AB85" t="s">
        <v>52</v>
      </c>
      <c r="AC85" s="2">
        <v>0.15</v>
      </c>
      <c r="AD85" t="s">
        <v>53</v>
      </c>
      <c r="AE85" t="s">
        <v>544</v>
      </c>
      <c r="AG85" t="s">
        <v>545</v>
      </c>
      <c r="AI85" t="s">
        <v>546</v>
      </c>
      <c r="AJ85" t="s">
        <v>547</v>
      </c>
      <c r="AK85" t="s">
        <v>58</v>
      </c>
      <c r="AL85" t="s">
        <v>511</v>
      </c>
      <c r="AM85" t="s">
        <v>60</v>
      </c>
      <c r="AN85" t="s">
        <v>61</v>
      </c>
      <c r="AO85" t="s">
        <v>62</v>
      </c>
      <c r="AQ85" t="str">
        <f t="shared" si="3"/>
        <v>Mundekulla 101, LÃ¥ngasjÃ¶, , 361 95, SuÃ¨de</v>
      </c>
      <c r="AR85" t="str">
        <f t="shared" si="4"/>
        <v>International Client</v>
      </c>
      <c r="AS85" t="s">
        <v>112</v>
      </c>
      <c r="AT85">
        <v>15066</v>
      </c>
      <c r="AU85" t="str">
        <f t="shared" si="5"/>
        <v>Medium Client</v>
      </c>
    </row>
    <row r="86" spans="1:47" x14ac:dyDescent="0.25">
      <c r="B86" t="s">
        <v>548</v>
      </c>
      <c r="C86" t="s">
        <v>64</v>
      </c>
      <c r="D86" t="s">
        <v>549</v>
      </c>
      <c r="E86" t="s">
        <v>550</v>
      </c>
      <c r="F86">
        <v>1</v>
      </c>
      <c r="G86" t="s">
        <v>49</v>
      </c>
      <c r="H86" t="s">
        <v>47</v>
      </c>
      <c r="I86" s="1">
        <v>45979</v>
      </c>
      <c r="J86" s="1">
        <v>45979</v>
      </c>
      <c r="K86" s="1">
        <v>45986</v>
      </c>
      <c r="L86" t="s">
        <v>48</v>
      </c>
      <c r="M86" t="s">
        <v>47</v>
      </c>
      <c r="N86" s="1">
        <v>45361</v>
      </c>
      <c r="O86" s="1">
        <v>45979</v>
      </c>
      <c r="P86" t="s">
        <v>46</v>
      </c>
      <c r="Q86" t="s">
        <v>47</v>
      </c>
      <c r="R86" t="s">
        <v>47</v>
      </c>
      <c r="S86" t="s">
        <v>47</v>
      </c>
      <c r="V86" t="s">
        <v>47</v>
      </c>
      <c r="W86" t="s">
        <v>50</v>
      </c>
      <c r="X86" s="1">
        <v>45986</v>
      </c>
      <c r="Y86" t="s">
        <v>51</v>
      </c>
      <c r="Z86" s="1">
        <v>46007</v>
      </c>
      <c r="AA86" t="s">
        <v>50</v>
      </c>
      <c r="AB86" t="s">
        <v>52</v>
      </c>
      <c r="AC86" s="2">
        <v>0.15</v>
      </c>
      <c r="AD86" t="s">
        <v>53</v>
      </c>
      <c r="AE86" t="s">
        <v>551</v>
      </c>
      <c r="AG86" t="s">
        <v>552</v>
      </c>
      <c r="AI86">
        <v>41200</v>
      </c>
      <c r="AJ86" t="s">
        <v>87</v>
      </c>
      <c r="AK86" t="s">
        <v>88</v>
      </c>
      <c r="AL86" t="s">
        <v>59</v>
      </c>
      <c r="AM86" t="s">
        <v>60</v>
      </c>
      <c r="AN86" t="s">
        <v>61</v>
      </c>
      <c r="AO86" t="s">
        <v>62</v>
      </c>
      <c r="AQ86" t="str">
        <f t="shared" si="3"/>
        <v>50 Faubourg d'OrlÃ©ans, Romorantin-Lanthenay, , 41200, France</v>
      </c>
      <c r="AR86" t="str">
        <f t="shared" si="4"/>
        <v>French Client</v>
      </c>
      <c r="AS86" t="s">
        <v>64</v>
      </c>
      <c r="AT86">
        <v>16602</v>
      </c>
      <c r="AU86" t="str">
        <f t="shared" si="5"/>
        <v>Medium Client</v>
      </c>
    </row>
    <row r="87" spans="1:47" x14ac:dyDescent="0.25">
      <c r="B87" t="s">
        <v>553</v>
      </c>
      <c r="C87" t="s">
        <v>112</v>
      </c>
      <c r="D87" t="s">
        <v>554</v>
      </c>
      <c r="E87" t="s">
        <v>555</v>
      </c>
      <c r="F87">
        <v>2</v>
      </c>
      <c r="G87" t="s">
        <v>46</v>
      </c>
      <c r="H87" s="1">
        <v>44997</v>
      </c>
      <c r="I87" s="1">
        <v>44997</v>
      </c>
      <c r="J87" s="1">
        <v>44796</v>
      </c>
      <c r="K87" t="s">
        <v>47</v>
      </c>
      <c r="L87" t="s">
        <v>48</v>
      </c>
      <c r="M87" t="s">
        <v>47</v>
      </c>
      <c r="N87" s="1">
        <v>44622</v>
      </c>
      <c r="O87" s="1">
        <v>44796</v>
      </c>
      <c r="P87" t="s">
        <v>46</v>
      </c>
      <c r="Q87" t="s">
        <v>47</v>
      </c>
      <c r="R87" t="s">
        <v>47</v>
      </c>
      <c r="S87" t="s">
        <v>47</v>
      </c>
      <c r="V87" t="s">
        <v>47</v>
      </c>
      <c r="W87" t="s">
        <v>50</v>
      </c>
      <c r="X87" s="1">
        <v>45031</v>
      </c>
      <c r="Y87" t="s">
        <v>51</v>
      </c>
      <c r="Z87" s="1">
        <v>46007</v>
      </c>
      <c r="AA87" t="s">
        <v>50</v>
      </c>
      <c r="AB87" t="s">
        <v>52</v>
      </c>
      <c r="AC87" s="2">
        <v>0.15</v>
      </c>
      <c r="AD87" t="s">
        <v>53</v>
      </c>
      <c r="AE87" t="s">
        <v>556</v>
      </c>
      <c r="AG87" t="s">
        <v>557</v>
      </c>
      <c r="AI87">
        <v>62470</v>
      </c>
      <c r="AJ87" t="s">
        <v>87</v>
      </c>
      <c r="AK87" t="s">
        <v>88</v>
      </c>
      <c r="AL87" t="s">
        <v>137</v>
      </c>
      <c r="AM87" t="s">
        <v>60</v>
      </c>
      <c r="AN87" t="s">
        <v>61</v>
      </c>
      <c r="AO87" t="s">
        <v>62</v>
      </c>
      <c r="AQ87" t="str">
        <f t="shared" si="3"/>
        <v>46 Rue AndrÃ© Mancey, Calonne-Ricouart, , 62470, France</v>
      </c>
      <c r="AR87" t="str">
        <f t="shared" si="4"/>
        <v>French Client</v>
      </c>
      <c r="AS87" t="s">
        <v>112</v>
      </c>
      <c r="AT87">
        <v>45366</v>
      </c>
      <c r="AU87" t="str">
        <f t="shared" si="5"/>
        <v>Medium Client</v>
      </c>
    </row>
    <row r="88" spans="1:47" x14ac:dyDescent="0.25">
      <c r="A88" t="s">
        <v>558</v>
      </c>
      <c r="B88" t="s">
        <v>559</v>
      </c>
      <c r="C88" t="s">
        <v>198</v>
      </c>
      <c r="D88" t="s">
        <v>560</v>
      </c>
      <c r="E88" t="s">
        <v>561</v>
      </c>
      <c r="F88">
        <v>1</v>
      </c>
      <c r="G88" t="s">
        <v>562</v>
      </c>
      <c r="H88" s="1">
        <v>44846</v>
      </c>
      <c r="I88" s="1">
        <v>44845</v>
      </c>
      <c r="J88" s="1">
        <v>44845</v>
      </c>
      <c r="K88" t="s">
        <v>47</v>
      </c>
      <c r="L88" t="s">
        <v>48</v>
      </c>
      <c r="M88" t="s">
        <v>47</v>
      </c>
      <c r="N88" s="1">
        <v>44630</v>
      </c>
      <c r="O88" s="1">
        <v>44845</v>
      </c>
      <c r="P88" t="s">
        <v>46</v>
      </c>
      <c r="Q88" t="s">
        <v>47</v>
      </c>
      <c r="R88" t="s">
        <v>47</v>
      </c>
      <c r="S88" t="s">
        <v>47</v>
      </c>
      <c r="V88" s="1">
        <v>44845</v>
      </c>
      <c r="W88" t="s">
        <v>563</v>
      </c>
      <c r="X88" s="1">
        <v>44877</v>
      </c>
      <c r="Y88" t="s">
        <v>51</v>
      </c>
      <c r="Z88" s="1">
        <v>46007</v>
      </c>
      <c r="AA88" t="s">
        <v>117</v>
      </c>
      <c r="AB88" t="s">
        <v>52</v>
      </c>
      <c r="AC88" s="2">
        <v>0</v>
      </c>
      <c r="AD88" t="s">
        <v>488</v>
      </c>
      <c r="AE88" t="s">
        <v>564</v>
      </c>
      <c r="AG88" t="s">
        <v>565</v>
      </c>
      <c r="AI88">
        <v>74150</v>
      </c>
      <c r="AJ88" t="s">
        <v>87</v>
      </c>
      <c r="AK88" t="s">
        <v>88</v>
      </c>
      <c r="AL88" t="s">
        <v>59</v>
      </c>
      <c r="AM88" t="s">
        <v>60</v>
      </c>
      <c r="AN88" t="s">
        <v>61</v>
      </c>
      <c r="AO88" t="s">
        <v>62</v>
      </c>
      <c r="AQ88" t="str">
        <f t="shared" si="3"/>
        <v>17 Place Croisollet, Rumilly, , 74150, France</v>
      </c>
      <c r="AR88" t="str">
        <f t="shared" si="4"/>
        <v>French Client</v>
      </c>
      <c r="AS88" t="s">
        <v>198</v>
      </c>
      <c r="AT88">
        <v>18252</v>
      </c>
      <c r="AU88" t="str">
        <f t="shared" si="5"/>
        <v>Medium Client</v>
      </c>
    </row>
    <row r="89" spans="1:47" x14ac:dyDescent="0.25">
      <c r="B89" t="s">
        <v>566</v>
      </c>
      <c r="C89" t="s">
        <v>64</v>
      </c>
      <c r="D89" t="s">
        <v>567</v>
      </c>
      <c r="E89" t="s">
        <v>568</v>
      </c>
      <c r="F89">
        <v>1</v>
      </c>
      <c r="G89" t="s">
        <v>569</v>
      </c>
      <c r="H89" s="1">
        <v>45994</v>
      </c>
      <c r="I89" s="1">
        <v>44762</v>
      </c>
      <c r="J89" s="1">
        <v>44762</v>
      </c>
      <c r="K89" t="s">
        <v>47</v>
      </c>
      <c r="L89" t="s">
        <v>48</v>
      </c>
      <c r="M89" t="s">
        <v>47</v>
      </c>
      <c r="N89" s="1">
        <v>44475</v>
      </c>
      <c r="O89" s="1">
        <v>44762</v>
      </c>
      <c r="P89" t="s">
        <v>46</v>
      </c>
      <c r="Q89" t="s">
        <v>47</v>
      </c>
      <c r="R89" t="s">
        <v>47</v>
      </c>
      <c r="S89" t="s">
        <v>47</v>
      </c>
      <c r="T89" t="s">
        <v>67</v>
      </c>
      <c r="V89" t="s">
        <v>47</v>
      </c>
      <c r="W89" t="s">
        <v>50</v>
      </c>
      <c r="X89" s="1">
        <v>44800</v>
      </c>
      <c r="Y89" t="s">
        <v>51</v>
      </c>
      <c r="Z89" s="1">
        <v>46007</v>
      </c>
      <c r="AA89" t="s">
        <v>50</v>
      </c>
      <c r="AB89" t="s">
        <v>52</v>
      </c>
      <c r="AC89" s="2">
        <v>0.15</v>
      </c>
      <c r="AD89" t="s">
        <v>53</v>
      </c>
      <c r="AE89" t="s">
        <v>570</v>
      </c>
      <c r="AG89" t="s">
        <v>571</v>
      </c>
      <c r="AI89">
        <v>38290</v>
      </c>
      <c r="AJ89" t="s">
        <v>87</v>
      </c>
      <c r="AK89" t="s">
        <v>88</v>
      </c>
      <c r="AL89" t="s">
        <v>59</v>
      </c>
      <c r="AM89" t="s">
        <v>98</v>
      </c>
      <c r="AN89" t="s">
        <v>61</v>
      </c>
      <c r="AO89" t="s">
        <v>62</v>
      </c>
      <c r="AQ89" t="str">
        <f t="shared" si="3"/>
        <v>148 Rue de la RÃ©publique, La VerpilliÃ¨re, , 38290, France</v>
      </c>
      <c r="AR89" t="str">
        <f t="shared" si="4"/>
        <v>French Client</v>
      </c>
      <c r="AS89" t="s">
        <v>64</v>
      </c>
      <c r="AT89">
        <v>27216</v>
      </c>
      <c r="AU89" t="str">
        <f t="shared" si="5"/>
        <v>Medium Client</v>
      </c>
    </row>
    <row r="90" spans="1:47" x14ac:dyDescent="0.25">
      <c r="B90" t="s">
        <v>572</v>
      </c>
      <c r="C90" t="s">
        <v>64</v>
      </c>
      <c r="D90" t="s">
        <v>573</v>
      </c>
      <c r="E90" t="s">
        <v>46</v>
      </c>
      <c r="F90">
        <v>0</v>
      </c>
      <c r="G90" t="s">
        <v>46</v>
      </c>
      <c r="H90" s="1">
        <v>45774</v>
      </c>
      <c r="I90" t="s">
        <v>47</v>
      </c>
      <c r="J90" t="s">
        <v>47</v>
      </c>
      <c r="K90" t="s">
        <v>47</v>
      </c>
      <c r="L90" t="s">
        <v>48</v>
      </c>
      <c r="M90" s="1">
        <v>45941</v>
      </c>
      <c r="N90" s="1">
        <v>44678</v>
      </c>
      <c r="O90" s="1">
        <v>45687</v>
      </c>
      <c r="P90" t="s">
        <v>574</v>
      </c>
      <c r="Q90" t="s">
        <v>47</v>
      </c>
      <c r="R90" t="s">
        <v>47</v>
      </c>
      <c r="S90" t="s">
        <v>47</v>
      </c>
      <c r="T90" t="s">
        <v>67</v>
      </c>
      <c r="U90" t="s">
        <v>575</v>
      </c>
      <c r="V90" t="s">
        <v>47</v>
      </c>
      <c r="W90" t="s">
        <v>50</v>
      </c>
      <c r="X90" t="s">
        <v>47</v>
      </c>
      <c r="Y90" t="s">
        <v>51</v>
      </c>
      <c r="Z90" s="1">
        <v>45940</v>
      </c>
      <c r="AA90" t="s">
        <v>50</v>
      </c>
      <c r="AB90" t="s">
        <v>52</v>
      </c>
      <c r="AC90" s="2">
        <v>0.15</v>
      </c>
      <c r="AD90" t="s">
        <v>53</v>
      </c>
      <c r="AE90" t="s">
        <v>576</v>
      </c>
      <c r="AG90" t="s">
        <v>577</v>
      </c>
      <c r="AI90">
        <v>2610</v>
      </c>
      <c r="AJ90" t="s">
        <v>578</v>
      </c>
      <c r="AK90" t="s">
        <v>58</v>
      </c>
      <c r="AL90" t="s">
        <v>511</v>
      </c>
      <c r="AN90" t="s">
        <v>73</v>
      </c>
      <c r="AO90" t="s">
        <v>62</v>
      </c>
      <c r="AQ90" t="str">
        <f t="shared" si="3"/>
        <v>37C RÃ¸dovre Centrum, RÃ¸dovre, , 2610, Danemark</v>
      </c>
      <c r="AR90" t="str">
        <f t="shared" si="4"/>
        <v>International Client</v>
      </c>
      <c r="AS90" t="s">
        <v>64</v>
      </c>
      <c r="AT90">
        <v>0</v>
      </c>
      <c r="AU90" t="str">
        <f t="shared" si="5"/>
        <v>Low Client</v>
      </c>
    </row>
    <row r="91" spans="1:47" x14ac:dyDescent="0.25">
      <c r="B91" t="s">
        <v>579</v>
      </c>
      <c r="C91" t="s">
        <v>64</v>
      </c>
      <c r="D91" t="s">
        <v>580</v>
      </c>
      <c r="E91" t="s">
        <v>581</v>
      </c>
      <c r="F91">
        <v>1</v>
      </c>
      <c r="G91" t="s">
        <v>582</v>
      </c>
      <c r="H91" s="1">
        <v>45937</v>
      </c>
      <c r="I91" s="1">
        <v>45427</v>
      </c>
      <c r="J91" s="1">
        <v>45427</v>
      </c>
      <c r="K91" t="s">
        <v>47</v>
      </c>
      <c r="L91" t="s">
        <v>48</v>
      </c>
      <c r="M91" t="s">
        <v>47</v>
      </c>
      <c r="N91" s="1">
        <v>44379</v>
      </c>
      <c r="O91" s="1">
        <v>45427</v>
      </c>
      <c r="P91" t="s">
        <v>583</v>
      </c>
      <c r="Q91" t="s">
        <v>47</v>
      </c>
      <c r="R91" t="s">
        <v>47</v>
      </c>
      <c r="S91" t="s">
        <v>47</v>
      </c>
      <c r="V91" t="s">
        <v>47</v>
      </c>
      <c r="W91" t="s">
        <v>50</v>
      </c>
      <c r="X91" s="1">
        <v>45436</v>
      </c>
      <c r="Y91" t="s">
        <v>51</v>
      </c>
      <c r="Z91" s="1">
        <v>46007</v>
      </c>
      <c r="AA91" t="s">
        <v>50</v>
      </c>
      <c r="AB91" t="s">
        <v>52</v>
      </c>
      <c r="AC91" s="2">
        <v>0.15</v>
      </c>
      <c r="AD91" t="s">
        <v>53</v>
      </c>
      <c r="AE91" t="s">
        <v>584</v>
      </c>
      <c r="AG91" t="s">
        <v>585</v>
      </c>
      <c r="AH91" t="s">
        <v>586</v>
      </c>
      <c r="AI91" t="s">
        <v>587</v>
      </c>
      <c r="AJ91" t="s">
        <v>588</v>
      </c>
      <c r="AK91" t="s">
        <v>58</v>
      </c>
      <c r="AL91" t="s">
        <v>59</v>
      </c>
      <c r="AM91" t="s">
        <v>60</v>
      </c>
      <c r="AN91" t="s">
        <v>61</v>
      </c>
      <c r="AO91" t="s">
        <v>62</v>
      </c>
      <c r="AQ91" t="str">
        <f t="shared" si="3"/>
        <v>1043 Ann Street, Wroxeter, ON, N0G 2X0, Canada</v>
      </c>
      <c r="AR91" t="str">
        <f t="shared" si="4"/>
        <v>International Client</v>
      </c>
      <c r="AS91" t="s">
        <v>64</v>
      </c>
      <c r="AT91">
        <v>11118</v>
      </c>
      <c r="AU91" t="str">
        <f t="shared" si="5"/>
        <v>Medium Client</v>
      </c>
    </row>
    <row r="92" spans="1:47" x14ac:dyDescent="0.25">
      <c r="B92" t="s">
        <v>589</v>
      </c>
      <c r="C92" t="s">
        <v>64</v>
      </c>
      <c r="D92" t="s">
        <v>590</v>
      </c>
      <c r="E92" t="s">
        <v>591</v>
      </c>
      <c r="F92">
        <v>1</v>
      </c>
      <c r="G92" t="s">
        <v>49</v>
      </c>
      <c r="H92" t="s">
        <v>47</v>
      </c>
      <c r="I92" s="1">
        <v>45983</v>
      </c>
      <c r="J92" s="1">
        <v>45983</v>
      </c>
      <c r="K92" s="1">
        <v>45989</v>
      </c>
      <c r="L92" t="s">
        <v>48</v>
      </c>
      <c r="M92" t="s">
        <v>47</v>
      </c>
      <c r="N92" s="1">
        <v>45265</v>
      </c>
      <c r="O92" s="1">
        <v>45983</v>
      </c>
      <c r="P92" t="s">
        <v>46</v>
      </c>
      <c r="Q92" t="s">
        <v>47</v>
      </c>
      <c r="R92" t="s">
        <v>47</v>
      </c>
      <c r="S92" t="s">
        <v>47</v>
      </c>
      <c r="T92" t="s">
        <v>67</v>
      </c>
      <c r="U92" t="s">
        <v>480</v>
      </c>
      <c r="V92" t="s">
        <v>47</v>
      </c>
      <c r="W92" t="s">
        <v>50</v>
      </c>
      <c r="X92" s="1">
        <v>45989</v>
      </c>
      <c r="Y92" t="s">
        <v>51</v>
      </c>
      <c r="Z92" s="1">
        <v>46007</v>
      </c>
      <c r="AA92" t="s">
        <v>50</v>
      </c>
      <c r="AB92" t="s">
        <v>52</v>
      </c>
      <c r="AC92" s="2">
        <v>0.15</v>
      </c>
      <c r="AD92" t="s">
        <v>53</v>
      </c>
      <c r="AE92" t="s">
        <v>592</v>
      </c>
      <c r="AG92" t="s">
        <v>593</v>
      </c>
      <c r="AI92">
        <v>7000</v>
      </c>
      <c r="AJ92" t="s">
        <v>164</v>
      </c>
      <c r="AK92" t="s">
        <v>88</v>
      </c>
      <c r="AL92" t="s">
        <v>59</v>
      </c>
      <c r="AM92" t="s">
        <v>60</v>
      </c>
      <c r="AN92" t="s">
        <v>61</v>
      </c>
      <c r="AO92" t="s">
        <v>62</v>
      </c>
      <c r="AQ92" t="str">
        <f t="shared" si="3"/>
        <v>Rue du Miroir, 29, Mons, , 7000, Belgique</v>
      </c>
      <c r="AR92" t="str">
        <f t="shared" si="4"/>
        <v>International Client</v>
      </c>
      <c r="AS92" t="s">
        <v>64</v>
      </c>
      <c r="AT92">
        <v>23520</v>
      </c>
      <c r="AU92" t="str">
        <f t="shared" si="5"/>
        <v>Medium Client</v>
      </c>
    </row>
    <row r="93" spans="1:47" x14ac:dyDescent="0.25">
      <c r="B93" t="s">
        <v>594</v>
      </c>
      <c r="C93" t="s">
        <v>64</v>
      </c>
      <c r="D93" t="s">
        <v>595</v>
      </c>
      <c r="E93" t="s">
        <v>596</v>
      </c>
      <c r="F93">
        <v>1</v>
      </c>
      <c r="G93" t="s">
        <v>49</v>
      </c>
      <c r="H93" t="s">
        <v>47</v>
      </c>
      <c r="I93" s="1">
        <v>45911</v>
      </c>
      <c r="J93" s="1">
        <v>45911</v>
      </c>
      <c r="K93" s="1">
        <v>45918</v>
      </c>
      <c r="L93" t="s">
        <v>48</v>
      </c>
      <c r="M93" t="s">
        <v>47</v>
      </c>
      <c r="N93" s="1">
        <v>45907</v>
      </c>
      <c r="O93" s="1">
        <v>45911</v>
      </c>
      <c r="P93" t="s">
        <v>46</v>
      </c>
      <c r="Q93" t="s">
        <v>47</v>
      </c>
      <c r="R93" t="s">
        <v>47</v>
      </c>
      <c r="S93" t="s">
        <v>47</v>
      </c>
      <c r="T93" t="s">
        <v>67</v>
      </c>
      <c r="V93" t="s">
        <v>47</v>
      </c>
      <c r="W93" t="s">
        <v>50</v>
      </c>
      <c r="X93" s="1">
        <v>45918</v>
      </c>
      <c r="Y93" t="s">
        <v>51</v>
      </c>
      <c r="Z93" s="1">
        <v>46008</v>
      </c>
      <c r="AA93" t="s">
        <v>50</v>
      </c>
      <c r="AB93" t="s">
        <v>52</v>
      </c>
      <c r="AC93" s="2">
        <v>0.15</v>
      </c>
      <c r="AD93" t="s">
        <v>53</v>
      </c>
      <c r="AE93" t="s">
        <v>597</v>
      </c>
      <c r="AG93" t="s">
        <v>598</v>
      </c>
      <c r="AI93">
        <v>6300</v>
      </c>
      <c r="AJ93" t="s">
        <v>87</v>
      </c>
      <c r="AK93" t="s">
        <v>88</v>
      </c>
      <c r="AL93" t="s">
        <v>59</v>
      </c>
      <c r="AM93" t="s">
        <v>60</v>
      </c>
      <c r="AN93" t="s">
        <v>61</v>
      </c>
      <c r="AO93" t="s">
        <v>62</v>
      </c>
      <c r="AQ93" t="str">
        <f t="shared" si="3"/>
        <v>28 Boulevard de l'ArmÃ©e des Alpes, Nice, , 6300, France</v>
      </c>
      <c r="AR93" t="str">
        <f t="shared" si="4"/>
        <v>French Client</v>
      </c>
      <c r="AS93" t="s">
        <v>64</v>
      </c>
      <c r="AT93">
        <v>86700</v>
      </c>
      <c r="AU93" t="str">
        <f t="shared" si="5"/>
        <v>High Client</v>
      </c>
    </row>
    <row r="94" spans="1:47" x14ac:dyDescent="0.25">
      <c r="B94" t="s">
        <v>599</v>
      </c>
      <c r="C94" t="s">
        <v>274</v>
      </c>
      <c r="D94" t="s">
        <v>600</v>
      </c>
      <c r="E94" t="s">
        <v>601</v>
      </c>
      <c r="F94">
        <v>1</v>
      </c>
      <c r="G94" t="s">
        <v>49</v>
      </c>
      <c r="H94" t="s">
        <v>47</v>
      </c>
      <c r="I94" s="1">
        <v>45985</v>
      </c>
      <c r="J94" s="1">
        <v>45985</v>
      </c>
      <c r="K94" s="1">
        <v>45993</v>
      </c>
      <c r="L94" t="s">
        <v>48</v>
      </c>
      <c r="M94" t="s">
        <v>47</v>
      </c>
      <c r="N94" s="1">
        <v>45240</v>
      </c>
      <c r="O94" s="1">
        <v>45985</v>
      </c>
      <c r="P94" t="s">
        <v>101</v>
      </c>
      <c r="Q94" t="s">
        <v>47</v>
      </c>
      <c r="R94" t="s">
        <v>47</v>
      </c>
      <c r="S94" t="s">
        <v>47</v>
      </c>
      <c r="V94" t="s">
        <v>47</v>
      </c>
      <c r="W94" t="s">
        <v>50</v>
      </c>
      <c r="X94" s="1">
        <v>45993</v>
      </c>
      <c r="Y94" t="s">
        <v>51</v>
      </c>
      <c r="Z94" s="1">
        <v>46007</v>
      </c>
      <c r="AA94" t="s">
        <v>50</v>
      </c>
      <c r="AB94" t="s">
        <v>52</v>
      </c>
      <c r="AC94" s="2">
        <v>0.15</v>
      </c>
      <c r="AD94" t="s">
        <v>53</v>
      </c>
      <c r="AE94" t="s">
        <v>602</v>
      </c>
      <c r="AG94" t="s">
        <v>603</v>
      </c>
      <c r="AI94">
        <v>1386</v>
      </c>
      <c r="AJ94" t="s">
        <v>104</v>
      </c>
      <c r="AK94" t="s">
        <v>58</v>
      </c>
      <c r="AL94" t="s">
        <v>59</v>
      </c>
      <c r="AM94" t="s">
        <v>60</v>
      </c>
      <c r="AN94" t="s">
        <v>61</v>
      </c>
      <c r="AO94" t="s">
        <v>62</v>
      </c>
      <c r="AQ94" t="s">
        <v>1354</v>
      </c>
      <c r="AR94" t="str">
        <f t="shared" si="4"/>
        <v>International Client</v>
      </c>
      <c r="AS94" t="s">
        <v>274</v>
      </c>
      <c r="AT94">
        <v>44190</v>
      </c>
      <c r="AU94" t="str">
        <f t="shared" si="5"/>
        <v>Medium Client</v>
      </c>
    </row>
    <row r="95" spans="1:47" x14ac:dyDescent="0.25">
      <c r="B95" t="s">
        <v>604</v>
      </c>
      <c r="C95" t="s">
        <v>64</v>
      </c>
      <c r="D95" t="s">
        <v>605</v>
      </c>
      <c r="E95" t="s">
        <v>606</v>
      </c>
      <c r="F95">
        <v>1</v>
      </c>
      <c r="G95" t="s">
        <v>607</v>
      </c>
      <c r="H95" s="1">
        <v>44782</v>
      </c>
      <c r="I95" s="1">
        <v>44484</v>
      </c>
      <c r="J95" s="1">
        <v>44484</v>
      </c>
      <c r="K95" t="s">
        <v>47</v>
      </c>
      <c r="L95" t="s">
        <v>48</v>
      </c>
      <c r="M95" t="s">
        <v>47</v>
      </c>
      <c r="N95" s="1">
        <v>44385</v>
      </c>
      <c r="O95" s="1">
        <v>44484</v>
      </c>
      <c r="P95" t="s">
        <v>46</v>
      </c>
      <c r="Q95" t="s">
        <v>47</v>
      </c>
      <c r="R95" t="s">
        <v>47</v>
      </c>
      <c r="S95" t="s">
        <v>47</v>
      </c>
      <c r="V95" t="s">
        <v>47</v>
      </c>
      <c r="W95" t="s">
        <v>50</v>
      </c>
      <c r="X95" s="1">
        <v>44511</v>
      </c>
      <c r="Y95" t="s">
        <v>51</v>
      </c>
      <c r="Z95" s="1">
        <v>46007</v>
      </c>
      <c r="AA95" t="s">
        <v>50</v>
      </c>
      <c r="AB95" t="s">
        <v>52</v>
      </c>
      <c r="AC95" s="2">
        <v>0.15</v>
      </c>
      <c r="AD95" t="s">
        <v>53</v>
      </c>
      <c r="AE95" t="s">
        <v>608</v>
      </c>
      <c r="AG95" t="s">
        <v>609</v>
      </c>
      <c r="AI95">
        <v>80121</v>
      </c>
      <c r="AJ95" t="s">
        <v>96</v>
      </c>
      <c r="AK95" t="s">
        <v>97</v>
      </c>
      <c r="AL95" t="s">
        <v>59</v>
      </c>
      <c r="AM95" t="s">
        <v>60</v>
      </c>
      <c r="AN95" t="s">
        <v>61</v>
      </c>
      <c r="AO95" t="s">
        <v>62</v>
      </c>
      <c r="AQ95" t="str">
        <f t="shared" si="3"/>
        <v>30 Via GiosuÃ¨ Carducci, Napoli, , 80121, Italie</v>
      </c>
      <c r="AR95" t="str">
        <f t="shared" si="4"/>
        <v>International Client</v>
      </c>
      <c r="AS95" t="s">
        <v>64</v>
      </c>
      <c r="AT95">
        <v>23256</v>
      </c>
      <c r="AU95" t="str">
        <f t="shared" si="5"/>
        <v>Medium Client</v>
      </c>
    </row>
    <row r="96" spans="1:47" x14ac:dyDescent="0.25">
      <c r="B96" t="s">
        <v>610</v>
      </c>
      <c r="C96" t="s">
        <v>267</v>
      </c>
      <c r="D96" t="s">
        <v>611</v>
      </c>
      <c r="E96" t="s">
        <v>612</v>
      </c>
      <c r="F96">
        <v>1</v>
      </c>
      <c r="G96" t="s">
        <v>49</v>
      </c>
      <c r="H96" t="s">
        <v>47</v>
      </c>
      <c r="I96" s="1">
        <v>45982</v>
      </c>
      <c r="J96" s="1">
        <v>45982</v>
      </c>
      <c r="K96" s="1">
        <v>45992</v>
      </c>
      <c r="L96" t="s">
        <v>48</v>
      </c>
      <c r="M96" t="s">
        <v>47</v>
      </c>
      <c r="N96" s="1">
        <v>45981</v>
      </c>
      <c r="O96" s="1">
        <v>45982</v>
      </c>
      <c r="P96" t="s">
        <v>46</v>
      </c>
      <c r="Q96" t="s">
        <v>47</v>
      </c>
      <c r="R96" t="s">
        <v>47</v>
      </c>
      <c r="S96" t="s">
        <v>47</v>
      </c>
      <c r="T96" t="s">
        <v>67</v>
      </c>
      <c r="U96" t="s">
        <v>613</v>
      </c>
      <c r="V96" t="s">
        <v>47</v>
      </c>
      <c r="W96" t="s">
        <v>50</v>
      </c>
      <c r="X96" s="1">
        <v>45992</v>
      </c>
      <c r="Y96" t="s">
        <v>51</v>
      </c>
      <c r="Z96" s="1">
        <v>46007</v>
      </c>
      <c r="AA96" t="s">
        <v>50</v>
      </c>
      <c r="AB96" t="s">
        <v>52</v>
      </c>
      <c r="AC96" s="2">
        <v>0.15</v>
      </c>
      <c r="AD96" t="s">
        <v>53</v>
      </c>
      <c r="AE96" t="s">
        <v>614</v>
      </c>
      <c r="AG96" t="s">
        <v>615</v>
      </c>
      <c r="AI96">
        <v>4400</v>
      </c>
      <c r="AJ96" t="s">
        <v>616</v>
      </c>
      <c r="AK96" t="s">
        <v>58</v>
      </c>
      <c r="AL96" t="s">
        <v>59</v>
      </c>
      <c r="AM96" t="s">
        <v>60</v>
      </c>
      <c r="AN96" t="s">
        <v>61</v>
      </c>
      <c r="AO96" t="s">
        <v>62</v>
      </c>
      <c r="AQ96" t="str">
        <f t="shared" si="3"/>
        <v>5 Rantakatu, JÃ¤rvenpÃ¤Ã¤, , 4400, Finlande</v>
      </c>
      <c r="AR96" t="str">
        <f t="shared" si="4"/>
        <v>International Client</v>
      </c>
      <c r="AS96" t="s">
        <v>267</v>
      </c>
      <c r="AT96">
        <v>32352</v>
      </c>
      <c r="AU96" t="str">
        <f t="shared" si="5"/>
        <v>Medium Client</v>
      </c>
    </row>
    <row r="97" spans="1:47" x14ac:dyDescent="0.25">
      <c r="B97" t="s">
        <v>617</v>
      </c>
      <c r="C97" t="s">
        <v>198</v>
      </c>
      <c r="D97" t="s">
        <v>618</v>
      </c>
      <c r="E97" t="s">
        <v>619</v>
      </c>
      <c r="F97">
        <v>1</v>
      </c>
      <c r="G97" t="s">
        <v>49</v>
      </c>
      <c r="H97" t="s">
        <v>47</v>
      </c>
      <c r="I97" s="1">
        <v>45918</v>
      </c>
      <c r="J97" s="1">
        <v>45918</v>
      </c>
      <c r="K97" s="1">
        <v>45930</v>
      </c>
      <c r="L97" t="s">
        <v>48</v>
      </c>
      <c r="M97" t="s">
        <v>47</v>
      </c>
      <c r="N97" s="1">
        <v>44405</v>
      </c>
      <c r="O97" s="1">
        <v>45918</v>
      </c>
      <c r="P97" t="s">
        <v>46</v>
      </c>
      <c r="Q97" t="s">
        <v>47</v>
      </c>
      <c r="R97" t="s">
        <v>47</v>
      </c>
      <c r="S97" t="s">
        <v>47</v>
      </c>
      <c r="T97" t="s">
        <v>67</v>
      </c>
      <c r="U97" t="s">
        <v>93</v>
      </c>
      <c r="V97" t="s">
        <v>47</v>
      </c>
      <c r="W97" t="s">
        <v>50</v>
      </c>
      <c r="X97" s="1">
        <v>45930</v>
      </c>
      <c r="Y97" t="s">
        <v>51</v>
      </c>
      <c r="Z97" s="1">
        <v>46007</v>
      </c>
      <c r="AA97" t="s">
        <v>50</v>
      </c>
      <c r="AB97" t="s">
        <v>52</v>
      </c>
      <c r="AC97" s="2">
        <v>0.15</v>
      </c>
      <c r="AD97" t="s">
        <v>53</v>
      </c>
      <c r="AE97" t="s">
        <v>620</v>
      </c>
      <c r="AG97" t="s">
        <v>621</v>
      </c>
      <c r="AI97">
        <v>7061</v>
      </c>
      <c r="AJ97" t="s">
        <v>164</v>
      </c>
      <c r="AK97" t="s">
        <v>88</v>
      </c>
      <c r="AL97" t="s">
        <v>59</v>
      </c>
      <c r="AM97" t="s">
        <v>98</v>
      </c>
      <c r="AN97" t="s">
        <v>61</v>
      </c>
      <c r="AO97" t="s">
        <v>62</v>
      </c>
      <c r="AQ97" t="str">
        <f t="shared" si="3"/>
        <v>2 Rue de la Motte, Soignies, , 7061, Belgique</v>
      </c>
      <c r="AR97" t="str">
        <f t="shared" si="4"/>
        <v>International Client</v>
      </c>
      <c r="AS97" t="s">
        <v>198</v>
      </c>
      <c r="AT97">
        <v>17466</v>
      </c>
      <c r="AU97" t="str">
        <f t="shared" si="5"/>
        <v>Medium Client</v>
      </c>
    </row>
    <row r="98" spans="1:47" x14ac:dyDescent="0.25">
      <c r="B98" t="s">
        <v>622</v>
      </c>
      <c r="C98" t="s">
        <v>75</v>
      </c>
      <c r="D98" t="s">
        <v>623</v>
      </c>
      <c r="E98" t="s">
        <v>624</v>
      </c>
      <c r="F98">
        <v>1</v>
      </c>
      <c r="G98" t="s">
        <v>46</v>
      </c>
      <c r="H98" s="1">
        <v>44782</v>
      </c>
      <c r="I98" s="1">
        <v>44646</v>
      </c>
      <c r="J98" s="1">
        <v>44646</v>
      </c>
      <c r="K98" t="s">
        <v>47</v>
      </c>
      <c r="L98" t="s">
        <v>48</v>
      </c>
      <c r="M98" t="s">
        <v>47</v>
      </c>
      <c r="N98" s="1">
        <v>44370</v>
      </c>
      <c r="O98" s="1">
        <v>44646</v>
      </c>
      <c r="P98" t="s">
        <v>46</v>
      </c>
      <c r="Q98" t="s">
        <v>47</v>
      </c>
      <c r="R98" t="s">
        <v>47</v>
      </c>
      <c r="S98" t="s">
        <v>47</v>
      </c>
      <c r="V98" t="s">
        <v>47</v>
      </c>
      <c r="W98" t="s">
        <v>50</v>
      </c>
      <c r="X98" s="1">
        <v>44686</v>
      </c>
      <c r="Y98" t="s">
        <v>51</v>
      </c>
      <c r="Z98" s="1">
        <v>45617</v>
      </c>
      <c r="AA98" t="s">
        <v>50</v>
      </c>
      <c r="AB98" t="s">
        <v>52</v>
      </c>
      <c r="AC98" s="2">
        <v>0.15</v>
      </c>
      <c r="AD98" t="s">
        <v>53</v>
      </c>
      <c r="AE98" t="s">
        <v>625</v>
      </c>
      <c r="AG98" t="s">
        <v>626</v>
      </c>
      <c r="AI98">
        <v>1030</v>
      </c>
      <c r="AJ98" t="s">
        <v>164</v>
      </c>
      <c r="AK98" t="s">
        <v>88</v>
      </c>
      <c r="AL98" t="s">
        <v>137</v>
      </c>
      <c r="AM98" t="s">
        <v>98</v>
      </c>
      <c r="AN98" t="s">
        <v>61</v>
      </c>
      <c r="AO98" t="s">
        <v>62</v>
      </c>
      <c r="AQ98" t="str">
        <f t="shared" si="3"/>
        <v>155 Rue Josaphat, Bruxelles, , 1030, Belgique</v>
      </c>
      <c r="AR98" t="str">
        <f t="shared" si="4"/>
        <v>International Client</v>
      </c>
      <c r="AS98" t="s">
        <v>75</v>
      </c>
      <c r="AT98">
        <v>26941</v>
      </c>
      <c r="AU98" t="str">
        <f t="shared" si="5"/>
        <v>Medium Client</v>
      </c>
    </row>
    <row r="99" spans="1:47" x14ac:dyDescent="0.25">
      <c r="B99" t="s">
        <v>627</v>
      </c>
      <c r="C99" t="s">
        <v>64</v>
      </c>
      <c r="D99" t="s">
        <v>628</v>
      </c>
      <c r="E99" t="s">
        <v>629</v>
      </c>
      <c r="F99">
        <v>1</v>
      </c>
      <c r="G99" t="s">
        <v>49</v>
      </c>
      <c r="H99" t="s">
        <v>47</v>
      </c>
      <c r="I99" s="1">
        <v>45891</v>
      </c>
      <c r="J99" s="1">
        <v>45891</v>
      </c>
      <c r="K99" s="1">
        <v>45898</v>
      </c>
      <c r="L99" t="s">
        <v>48</v>
      </c>
      <c r="M99" t="s">
        <v>47</v>
      </c>
      <c r="N99" s="1">
        <v>45724</v>
      </c>
      <c r="O99" s="1">
        <v>45891</v>
      </c>
      <c r="P99" t="s">
        <v>46</v>
      </c>
      <c r="Q99" t="s">
        <v>47</v>
      </c>
      <c r="R99" t="s">
        <v>47</v>
      </c>
      <c r="S99" t="s">
        <v>47</v>
      </c>
      <c r="V99" t="s">
        <v>47</v>
      </c>
      <c r="W99" t="s">
        <v>50</v>
      </c>
      <c r="X99" s="1">
        <v>45898</v>
      </c>
      <c r="Y99" t="s">
        <v>51</v>
      </c>
      <c r="Z99" s="1">
        <v>46007</v>
      </c>
      <c r="AA99" t="s">
        <v>50</v>
      </c>
      <c r="AB99" t="s">
        <v>52</v>
      </c>
      <c r="AC99" s="2">
        <v>0.15</v>
      </c>
      <c r="AD99" t="s">
        <v>53</v>
      </c>
      <c r="AE99" t="s">
        <v>630</v>
      </c>
      <c r="AG99" t="s">
        <v>609</v>
      </c>
      <c r="AI99">
        <v>80126</v>
      </c>
      <c r="AJ99" t="s">
        <v>96</v>
      </c>
      <c r="AK99" t="s">
        <v>97</v>
      </c>
      <c r="AL99" t="s">
        <v>59</v>
      </c>
      <c r="AM99" t="s">
        <v>60</v>
      </c>
      <c r="AN99" t="s">
        <v>61</v>
      </c>
      <c r="AO99" t="s">
        <v>62</v>
      </c>
      <c r="AQ99" t="str">
        <f t="shared" si="3"/>
        <v>334f Via dell'Epomeo, Napoli, , 80126, Italie</v>
      </c>
      <c r="AR99" t="str">
        <f t="shared" si="4"/>
        <v>International Client</v>
      </c>
      <c r="AS99" t="s">
        <v>64</v>
      </c>
      <c r="AT99">
        <v>15408</v>
      </c>
      <c r="AU99" t="str">
        <f t="shared" si="5"/>
        <v>Medium Client</v>
      </c>
    </row>
    <row r="100" spans="1:47" x14ac:dyDescent="0.25">
      <c r="B100" t="s">
        <v>631</v>
      </c>
      <c r="C100" t="s">
        <v>64</v>
      </c>
      <c r="D100" t="s">
        <v>632</v>
      </c>
      <c r="E100" t="s">
        <v>377</v>
      </c>
      <c r="F100">
        <v>1</v>
      </c>
      <c r="G100" t="s">
        <v>49</v>
      </c>
      <c r="H100" t="s">
        <v>47</v>
      </c>
      <c r="I100" s="1">
        <v>45998</v>
      </c>
      <c r="J100" s="1">
        <v>45998</v>
      </c>
      <c r="K100" s="1">
        <v>46008</v>
      </c>
      <c r="L100" t="s">
        <v>48</v>
      </c>
      <c r="M100" t="s">
        <v>47</v>
      </c>
      <c r="N100" s="1">
        <v>45935</v>
      </c>
      <c r="O100" s="1">
        <v>45998</v>
      </c>
      <c r="P100" t="s">
        <v>46</v>
      </c>
      <c r="Q100" t="s">
        <v>47</v>
      </c>
      <c r="R100" t="s">
        <v>47</v>
      </c>
      <c r="S100" t="s">
        <v>47</v>
      </c>
      <c r="V100" t="s">
        <v>47</v>
      </c>
      <c r="W100" t="s">
        <v>50</v>
      </c>
      <c r="X100" s="1">
        <v>46008</v>
      </c>
      <c r="Y100" t="s">
        <v>51</v>
      </c>
      <c r="Z100" s="1">
        <v>46007</v>
      </c>
      <c r="AA100" t="s">
        <v>50</v>
      </c>
      <c r="AB100" t="s">
        <v>52</v>
      </c>
      <c r="AC100" s="2">
        <v>0.15</v>
      </c>
      <c r="AD100" t="s">
        <v>53</v>
      </c>
      <c r="AE100" t="s">
        <v>633</v>
      </c>
      <c r="AG100" t="s">
        <v>634</v>
      </c>
      <c r="AI100">
        <v>3933</v>
      </c>
      <c r="AJ100" t="s">
        <v>635</v>
      </c>
      <c r="AK100" t="s">
        <v>58</v>
      </c>
      <c r="AL100" t="s">
        <v>59</v>
      </c>
      <c r="AM100" t="s">
        <v>60</v>
      </c>
      <c r="AN100" t="s">
        <v>61</v>
      </c>
      <c r="AO100" t="s">
        <v>62</v>
      </c>
      <c r="AQ100" t="str">
        <f t="shared" si="3"/>
        <v>26A RÄ«gas iela, Vecumnieki, , 3933, Lettonie</v>
      </c>
      <c r="AR100" t="str">
        <f t="shared" si="4"/>
        <v>International Client</v>
      </c>
      <c r="AS100" t="s">
        <v>64</v>
      </c>
      <c r="AT100">
        <v>19152</v>
      </c>
      <c r="AU100" t="str">
        <f t="shared" si="5"/>
        <v>Medium Client</v>
      </c>
    </row>
    <row r="101" spans="1:47" x14ac:dyDescent="0.25">
      <c r="B101" t="s">
        <v>636</v>
      </c>
      <c r="C101" t="s">
        <v>43</v>
      </c>
      <c r="D101" t="s">
        <v>637</v>
      </c>
      <c r="E101" t="s">
        <v>638</v>
      </c>
      <c r="F101">
        <v>2</v>
      </c>
      <c r="G101" t="s">
        <v>46</v>
      </c>
      <c r="H101" s="1">
        <v>45934</v>
      </c>
      <c r="I101" s="1">
        <v>45936</v>
      </c>
      <c r="J101" s="1">
        <v>45793</v>
      </c>
      <c r="K101" s="1">
        <v>45804</v>
      </c>
      <c r="L101" t="s">
        <v>48</v>
      </c>
      <c r="M101" t="s">
        <v>47</v>
      </c>
      <c r="N101" s="1">
        <v>44356</v>
      </c>
      <c r="O101" s="1">
        <v>45793</v>
      </c>
      <c r="P101" t="s">
        <v>441</v>
      </c>
      <c r="Q101" t="s">
        <v>47</v>
      </c>
      <c r="R101" t="s">
        <v>47</v>
      </c>
      <c r="S101" t="s">
        <v>47</v>
      </c>
      <c r="V101" t="s">
        <v>47</v>
      </c>
      <c r="W101" t="s">
        <v>50</v>
      </c>
      <c r="X101" s="1">
        <v>45944</v>
      </c>
      <c r="Y101" t="s">
        <v>51</v>
      </c>
      <c r="Z101" s="1">
        <v>46007</v>
      </c>
      <c r="AA101" t="s">
        <v>50</v>
      </c>
      <c r="AB101" t="s">
        <v>52</v>
      </c>
      <c r="AC101" s="2">
        <v>0.15</v>
      </c>
      <c r="AD101" t="s">
        <v>53</v>
      </c>
      <c r="AE101" t="s">
        <v>639</v>
      </c>
      <c r="AF101" t="s">
        <v>640</v>
      </c>
      <c r="AG101" t="s">
        <v>641</v>
      </c>
      <c r="AI101" t="s">
        <v>642</v>
      </c>
      <c r="AJ101" t="s">
        <v>445</v>
      </c>
      <c r="AK101" t="s">
        <v>58</v>
      </c>
      <c r="AL101" t="s">
        <v>59</v>
      </c>
      <c r="AM101" t="s">
        <v>60</v>
      </c>
      <c r="AN101" t="s">
        <v>61</v>
      </c>
      <c r="AO101" t="s">
        <v>62</v>
      </c>
      <c r="AQ101" t="str">
        <f t="shared" si="3"/>
        <v>Unit 4, Orbital Industrial Estate,, Horton Road, LONDON, , UB7 8JL, Royaume-Uni</v>
      </c>
      <c r="AR101" t="str">
        <f t="shared" si="4"/>
        <v>International Client</v>
      </c>
      <c r="AS101" t="s">
        <v>43</v>
      </c>
      <c r="AT101">
        <v>62100</v>
      </c>
      <c r="AU101" t="str">
        <f t="shared" si="5"/>
        <v>High Client</v>
      </c>
    </row>
    <row r="102" spans="1:47" x14ac:dyDescent="0.25">
      <c r="B102" t="s">
        <v>643</v>
      </c>
      <c r="C102" t="s">
        <v>64</v>
      </c>
      <c r="D102" t="s">
        <v>644</v>
      </c>
      <c r="E102" t="s">
        <v>645</v>
      </c>
      <c r="F102">
        <v>1</v>
      </c>
      <c r="G102" t="s">
        <v>49</v>
      </c>
      <c r="H102" t="s">
        <v>47</v>
      </c>
      <c r="I102" s="1">
        <v>45964</v>
      </c>
      <c r="J102" s="1">
        <v>45964</v>
      </c>
      <c r="K102" s="1">
        <v>45972</v>
      </c>
      <c r="L102" t="s">
        <v>48</v>
      </c>
      <c r="M102" t="s">
        <v>47</v>
      </c>
      <c r="N102" s="1">
        <v>45565</v>
      </c>
      <c r="O102" s="1">
        <v>45964</v>
      </c>
      <c r="P102" t="s">
        <v>646</v>
      </c>
      <c r="Q102" t="s">
        <v>47</v>
      </c>
      <c r="R102" t="s">
        <v>47</v>
      </c>
      <c r="S102" t="s">
        <v>47</v>
      </c>
      <c r="V102" t="s">
        <v>47</v>
      </c>
      <c r="W102" t="s">
        <v>50</v>
      </c>
      <c r="X102" s="1">
        <v>45972</v>
      </c>
      <c r="Y102" t="s">
        <v>51</v>
      </c>
      <c r="Z102" s="1">
        <v>46007</v>
      </c>
      <c r="AA102" t="s">
        <v>50</v>
      </c>
      <c r="AB102" t="s">
        <v>52</v>
      </c>
      <c r="AC102" s="2">
        <v>0.15</v>
      </c>
      <c r="AD102" t="s">
        <v>53</v>
      </c>
      <c r="AE102" t="s">
        <v>647</v>
      </c>
      <c r="AG102" t="s">
        <v>648</v>
      </c>
      <c r="AI102">
        <v>2016</v>
      </c>
      <c r="AJ102" t="s">
        <v>649</v>
      </c>
      <c r="AK102" t="s">
        <v>88</v>
      </c>
      <c r="AL102" t="s">
        <v>59</v>
      </c>
      <c r="AM102" t="s">
        <v>60</v>
      </c>
      <c r="AN102" t="s">
        <v>61</v>
      </c>
      <c r="AO102" t="s">
        <v>62</v>
      </c>
      <c r="AQ102" t="str">
        <f t="shared" si="3"/>
        <v>2 Chemin de la Roussette, Cortaillod, , 2016, Suisse</v>
      </c>
      <c r="AR102" t="str">
        <f t="shared" si="4"/>
        <v>International Client</v>
      </c>
      <c r="AS102" t="s">
        <v>64</v>
      </c>
      <c r="AT102">
        <v>14700</v>
      </c>
      <c r="AU102" t="str">
        <f t="shared" si="5"/>
        <v>Medium Client</v>
      </c>
    </row>
    <row r="103" spans="1:47" x14ac:dyDescent="0.25">
      <c r="B103" t="s">
        <v>650</v>
      </c>
      <c r="C103" t="s">
        <v>43</v>
      </c>
      <c r="D103" t="s">
        <v>651</v>
      </c>
      <c r="E103" t="s">
        <v>652</v>
      </c>
      <c r="F103">
        <v>1</v>
      </c>
      <c r="G103" t="s">
        <v>653</v>
      </c>
      <c r="H103" s="1">
        <v>45971</v>
      </c>
      <c r="I103" s="1">
        <v>45355</v>
      </c>
      <c r="J103" s="1">
        <v>45355</v>
      </c>
      <c r="K103" t="s">
        <v>47</v>
      </c>
      <c r="L103" t="s">
        <v>48</v>
      </c>
      <c r="M103" s="1">
        <v>45761</v>
      </c>
      <c r="N103" s="1">
        <v>44402</v>
      </c>
      <c r="O103" s="1">
        <v>45355</v>
      </c>
      <c r="P103" t="s">
        <v>46</v>
      </c>
      <c r="Q103" t="s">
        <v>47</v>
      </c>
      <c r="R103" t="s">
        <v>47</v>
      </c>
      <c r="S103" t="s">
        <v>47</v>
      </c>
      <c r="T103" t="s">
        <v>67</v>
      </c>
      <c r="U103" t="s">
        <v>93</v>
      </c>
      <c r="V103" t="s">
        <v>47</v>
      </c>
      <c r="W103" t="s">
        <v>50</v>
      </c>
      <c r="X103" s="1">
        <v>45363</v>
      </c>
      <c r="Y103" t="s">
        <v>51</v>
      </c>
      <c r="Z103" s="1">
        <v>45756</v>
      </c>
      <c r="AA103" t="s">
        <v>50</v>
      </c>
      <c r="AB103" t="s">
        <v>52</v>
      </c>
      <c r="AC103" s="2">
        <v>0.15</v>
      </c>
      <c r="AD103" t="s">
        <v>53</v>
      </c>
      <c r="AE103" t="s">
        <v>654</v>
      </c>
      <c r="AG103" t="s">
        <v>655</v>
      </c>
      <c r="AI103">
        <v>88610</v>
      </c>
      <c r="AJ103" t="s">
        <v>616</v>
      </c>
      <c r="AK103" t="s">
        <v>58</v>
      </c>
      <c r="AL103" t="s">
        <v>511</v>
      </c>
      <c r="AM103" t="s">
        <v>60</v>
      </c>
      <c r="AN103" t="s">
        <v>61</v>
      </c>
      <c r="AO103" t="s">
        <v>62</v>
      </c>
      <c r="AQ103" t="str">
        <f t="shared" si="3"/>
        <v>1 Keskuskuja, Vuokatti, , 88610, Finlande</v>
      </c>
      <c r="AR103" t="str">
        <f t="shared" si="4"/>
        <v>International Client</v>
      </c>
      <c r="AS103" t="s">
        <v>43</v>
      </c>
      <c r="AT103">
        <v>41292</v>
      </c>
      <c r="AU103" t="str">
        <f t="shared" si="5"/>
        <v>Medium Client</v>
      </c>
    </row>
    <row r="104" spans="1:47" x14ac:dyDescent="0.25">
      <c r="B104" t="s">
        <v>656</v>
      </c>
      <c r="C104" t="s">
        <v>64</v>
      </c>
      <c r="D104" t="s">
        <v>657</v>
      </c>
      <c r="E104" t="s">
        <v>658</v>
      </c>
      <c r="F104">
        <v>1</v>
      </c>
      <c r="G104" t="s">
        <v>49</v>
      </c>
      <c r="H104" t="s">
        <v>47</v>
      </c>
      <c r="I104" s="1">
        <v>46009</v>
      </c>
      <c r="J104" s="1">
        <v>46009</v>
      </c>
      <c r="K104" t="s">
        <v>47</v>
      </c>
      <c r="L104" t="s">
        <v>48</v>
      </c>
      <c r="M104" t="s">
        <v>47</v>
      </c>
      <c r="N104" s="1">
        <v>44476</v>
      </c>
      <c r="O104" s="1">
        <v>46009</v>
      </c>
      <c r="P104" t="s">
        <v>46</v>
      </c>
      <c r="Q104" t="s">
        <v>47</v>
      </c>
      <c r="R104" t="s">
        <v>47</v>
      </c>
      <c r="S104" t="s">
        <v>47</v>
      </c>
      <c r="V104" t="s">
        <v>47</v>
      </c>
      <c r="W104" t="s">
        <v>50</v>
      </c>
      <c r="X104" t="s">
        <v>47</v>
      </c>
      <c r="Y104" t="s">
        <v>51</v>
      </c>
      <c r="Z104" t="s">
        <v>47</v>
      </c>
      <c r="AA104" t="s">
        <v>50</v>
      </c>
      <c r="AB104" t="s">
        <v>52</v>
      </c>
      <c r="AC104" s="2">
        <v>0.15</v>
      </c>
      <c r="AD104" t="s">
        <v>53</v>
      </c>
      <c r="AE104" t="s">
        <v>659</v>
      </c>
      <c r="AG104" t="s">
        <v>660</v>
      </c>
      <c r="AI104">
        <v>79210</v>
      </c>
      <c r="AJ104" t="s">
        <v>87</v>
      </c>
      <c r="AK104" t="s">
        <v>88</v>
      </c>
      <c r="AL104" t="s">
        <v>59</v>
      </c>
      <c r="AM104" t="s">
        <v>60</v>
      </c>
      <c r="AN104" t="s">
        <v>61</v>
      </c>
      <c r="AO104" t="s">
        <v>62</v>
      </c>
      <c r="AQ104" t="s">
        <v>1355</v>
      </c>
      <c r="AR104" t="str">
        <f t="shared" si="4"/>
        <v>French Client</v>
      </c>
      <c r="AS104" t="s">
        <v>64</v>
      </c>
      <c r="AT104">
        <v>16392</v>
      </c>
      <c r="AU104" t="str">
        <f t="shared" si="5"/>
        <v>Medium Client</v>
      </c>
    </row>
    <row r="105" spans="1:47" x14ac:dyDescent="0.25">
      <c r="B105" t="s">
        <v>661</v>
      </c>
      <c r="C105" t="s">
        <v>64</v>
      </c>
      <c r="D105" t="s">
        <v>662</v>
      </c>
      <c r="E105" t="s">
        <v>663</v>
      </c>
      <c r="F105">
        <v>1</v>
      </c>
      <c r="G105" t="s">
        <v>664</v>
      </c>
      <c r="H105" s="1">
        <v>45211</v>
      </c>
      <c r="I105" s="1">
        <v>44931</v>
      </c>
      <c r="J105" s="1">
        <v>44931</v>
      </c>
      <c r="K105" t="s">
        <v>47</v>
      </c>
      <c r="L105" t="s">
        <v>48</v>
      </c>
      <c r="M105" t="s">
        <v>47</v>
      </c>
      <c r="N105" s="1">
        <v>44825</v>
      </c>
      <c r="O105" s="1">
        <v>44931</v>
      </c>
      <c r="P105" t="s">
        <v>46</v>
      </c>
      <c r="Q105" t="s">
        <v>47</v>
      </c>
      <c r="R105" t="s">
        <v>47</v>
      </c>
      <c r="S105" t="s">
        <v>47</v>
      </c>
      <c r="T105" t="s">
        <v>67</v>
      </c>
      <c r="V105" t="s">
        <v>47</v>
      </c>
      <c r="W105" t="s">
        <v>50</v>
      </c>
      <c r="X105" s="1">
        <v>44969</v>
      </c>
      <c r="Y105" t="s">
        <v>51</v>
      </c>
      <c r="Z105" s="1">
        <v>46007</v>
      </c>
      <c r="AA105" t="s">
        <v>50</v>
      </c>
      <c r="AB105" t="s">
        <v>52</v>
      </c>
      <c r="AC105" s="2">
        <v>0.15</v>
      </c>
      <c r="AD105" t="s">
        <v>53</v>
      </c>
      <c r="AE105" t="s">
        <v>665</v>
      </c>
      <c r="AG105" t="s">
        <v>666</v>
      </c>
      <c r="AI105">
        <v>27230</v>
      </c>
      <c r="AJ105" t="s">
        <v>87</v>
      </c>
      <c r="AK105" t="s">
        <v>88</v>
      </c>
      <c r="AL105" t="s">
        <v>59</v>
      </c>
      <c r="AM105" t="s">
        <v>60</v>
      </c>
      <c r="AN105" t="s">
        <v>61</v>
      </c>
      <c r="AO105" t="s">
        <v>62</v>
      </c>
      <c r="AQ105" t="str">
        <f t="shared" si="3"/>
        <v>24 Rue de Bernay, Thiberville, , 27230, France</v>
      </c>
      <c r="AR105" t="str">
        <f t="shared" si="4"/>
        <v>French Client</v>
      </c>
      <c r="AS105" t="s">
        <v>64</v>
      </c>
      <c r="AT105">
        <v>15852</v>
      </c>
      <c r="AU105" t="str">
        <f t="shared" si="5"/>
        <v>Medium Client</v>
      </c>
    </row>
    <row r="106" spans="1:47" x14ac:dyDescent="0.25">
      <c r="B106" t="s">
        <v>667</v>
      </c>
      <c r="C106" t="s">
        <v>112</v>
      </c>
      <c r="D106" t="s">
        <v>668</v>
      </c>
      <c r="E106" t="s">
        <v>669</v>
      </c>
      <c r="F106">
        <v>1</v>
      </c>
      <c r="G106" t="s">
        <v>46</v>
      </c>
      <c r="H106" t="s">
        <v>47</v>
      </c>
      <c r="I106" s="1">
        <v>44720</v>
      </c>
      <c r="J106" s="1">
        <v>44720</v>
      </c>
      <c r="K106" t="s">
        <v>47</v>
      </c>
      <c r="L106" t="s">
        <v>48</v>
      </c>
      <c r="M106" t="s">
        <v>47</v>
      </c>
      <c r="N106" s="1">
        <v>44411</v>
      </c>
      <c r="O106" s="1">
        <v>44720</v>
      </c>
      <c r="P106" t="s">
        <v>46</v>
      </c>
      <c r="Q106" t="s">
        <v>47</v>
      </c>
      <c r="R106" t="s">
        <v>47</v>
      </c>
      <c r="S106" t="s">
        <v>47</v>
      </c>
      <c r="V106" t="s">
        <v>47</v>
      </c>
      <c r="W106" t="s">
        <v>50</v>
      </c>
      <c r="X106" s="1">
        <v>44755</v>
      </c>
      <c r="Y106" t="s">
        <v>51</v>
      </c>
      <c r="Z106" s="1">
        <v>46007</v>
      </c>
      <c r="AA106" t="s">
        <v>50</v>
      </c>
      <c r="AB106" t="s">
        <v>52</v>
      </c>
      <c r="AC106" s="2">
        <v>0.15</v>
      </c>
      <c r="AD106" t="s">
        <v>53</v>
      </c>
      <c r="AE106" t="s">
        <v>670</v>
      </c>
      <c r="AG106" t="s">
        <v>671</v>
      </c>
      <c r="AI106">
        <v>13730</v>
      </c>
      <c r="AJ106" t="s">
        <v>87</v>
      </c>
      <c r="AK106" t="s">
        <v>88</v>
      </c>
      <c r="AL106" t="s">
        <v>59</v>
      </c>
      <c r="AM106" t="s">
        <v>60</v>
      </c>
      <c r="AN106" t="s">
        <v>61</v>
      </c>
      <c r="AO106" t="s">
        <v>62</v>
      </c>
      <c r="AQ106" t="str">
        <f t="shared" si="3"/>
        <v>1 Rue de la GlaciÃ¨re, Saint-Victoret, , 13730, France</v>
      </c>
      <c r="AR106" t="str">
        <f t="shared" si="4"/>
        <v>French Client</v>
      </c>
      <c r="AS106" t="s">
        <v>112</v>
      </c>
      <c r="AT106">
        <v>23502</v>
      </c>
      <c r="AU106" t="str">
        <f t="shared" si="5"/>
        <v>Medium Client</v>
      </c>
    </row>
    <row r="107" spans="1:47" x14ac:dyDescent="0.25">
      <c r="B107" t="s">
        <v>672</v>
      </c>
      <c r="C107" t="s">
        <v>112</v>
      </c>
      <c r="D107" t="s">
        <v>673</v>
      </c>
      <c r="E107" t="s">
        <v>674</v>
      </c>
      <c r="F107">
        <v>1</v>
      </c>
      <c r="G107" t="s">
        <v>46</v>
      </c>
      <c r="H107" s="1">
        <v>45861</v>
      </c>
      <c r="I107" s="1">
        <v>44952</v>
      </c>
      <c r="J107" s="1">
        <v>44952</v>
      </c>
      <c r="K107" t="s">
        <v>47</v>
      </c>
      <c r="L107" t="s">
        <v>48</v>
      </c>
      <c r="M107" t="s">
        <v>47</v>
      </c>
      <c r="N107" s="1">
        <v>44649</v>
      </c>
      <c r="O107" s="1">
        <v>44952</v>
      </c>
      <c r="P107" t="s">
        <v>46</v>
      </c>
      <c r="Q107" t="s">
        <v>47</v>
      </c>
      <c r="R107" t="s">
        <v>47</v>
      </c>
      <c r="S107" t="s">
        <v>47</v>
      </c>
      <c r="V107" t="s">
        <v>47</v>
      </c>
      <c r="W107" t="s">
        <v>50</v>
      </c>
      <c r="X107" s="1">
        <v>44988</v>
      </c>
      <c r="Y107" t="s">
        <v>51</v>
      </c>
      <c r="Z107" s="1">
        <v>46007</v>
      </c>
      <c r="AA107" t="s">
        <v>50</v>
      </c>
      <c r="AB107" t="s">
        <v>52</v>
      </c>
      <c r="AC107" s="2">
        <v>0.15</v>
      </c>
      <c r="AD107" t="s">
        <v>53</v>
      </c>
      <c r="AE107" t="s">
        <v>675</v>
      </c>
      <c r="AG107" t="s">
        <v>676</v>
      </c>
      <c r="AI107">
        <v>62122</v>
      </c>
      <c r="AJ107" t="s">
        <v>87</v>
      </c>
      <c r="AK107" t="s">
        <v>88</v>
      </c>
      <c r="AL107" t="s">
        <v>59</v>
      </c>
      <c r="AM107" t="s">
        <v>60</v>
      </c>
      <c r="AN107" t="s">
        <v>61</v>
      </c>
      <c r="AO107" t="s">
        <v>62</v>
      </c>
      <c r="AQ107" t="str">
        <f t="shared" si="3"/>
        <v>156 Rue Jean JaurÃ¨s, LabeuvriÃ¨re, , 62122, France</v>
      </c>
      <c r="AR107" t="str">
        <f t="shared" si="4"/>
        <v>French Client</v>
      </c>
      <c r="AS107" t="s">
        <v>112</v>
      </c>
      <c r="AT107">
        <v>27666</v>
      </c>
      <c r="AU107" t="str">
        <f t="shared" si="5"/>
        <v>Medium Client</v>
      </c>
    </row>
    <row r="108" spans="1:47" x14ac:dyDescent="0.25">
      <c r="B108" t="s">
        <v>677</v>
      </c>
      <c r="C108" t="s">
        <v>64</v>
      </c>
      <c r="D108" t="s">
        <v>678</v>
      </c>
      <c r="E108" t="s">
        <v>679</v>
      </c>
      <c r="F108">
        <v>1</v>
      </c>
      <c r="G108" t="s">
        <v>49</v>
      </c>
      <c r="H108" t="s">
        <v>47</v>
      </c>
      <c r="I108" s="1">
        <v>45977</v>
      </c>
      <c r="J108" s="1">
        <v>45977</v>
      </c>
      <c r="K108" s="1">
        <v>45988</v>
      </c>
      <c r="L108" t="s">
        <v>48</v>
      </c>
      <c r="M108" t="s">
        <v>47</v>
      </c>
      <c r="N108" s="1">
        <v>45961</v>
      </c>
      <c r="O108" s="1">
        <v>45977</v>
      </c>
      <c r="P108" t="s">
        <v>46</v>
      </c>
      <c r="Q108" t="s">
        <v>47</v>
      </c>
      <c r="R108" t="s">
        <v>47</v>
      </c>
      <c r="S108" t="s">
        <v>47</v>
      </c>
      <c r="V108" t="s">
        <v>47</v>
      </c>
      <c r="W108" t="s">
        <v>50</v>
      </c>
      <c r="X108" s="1">
        <v>45988</v>
      </c>
      <c r="Y108" t="s">
        <v>51</v>
      </c>
      <c r="Z108" s="1">
        <v>46007</v>
      </c>
      <c r="AA108" t="s">
        <v>50</v>
      </c>
      <c r="AB108" t="s">
        <v>52</v>
      </c>
      <c r="AC108" s="2">
        <v>0.15</v>
      </c>
      <c r="AD108" t="s">
        <v>53</v>
      </c>
      <c r="AE108" t="s">
        <v>680</v>
      </c>
      <c r="AG108" t="s">
        <v>681</v>
      </c>
      <c r="AI108">
        <v>68500</v>
      </c>
      <c r="AJ108" t="s">
        <v>87</v>
      </c>
      <c r="AK108" t="s">
        <v>88</v>
      </c>
      <c r="AL108" t="s">
        <v>59</v>
      </c>
      <c r="AM108" t="s">
        <v>60</v>
      </c>
      <c r="AN108" t="s">
        <v>61</v>
      </c>
      <c r="AO108" t="s">
        <v>62</v>
      </c>
      <c r="AQ108" t="str">
        <f t="shared" si="3"/>
        <v>9 RUE DES MALGRES NOUS, GUEBWILLER, , 68500, France</v>
      </c>
      <c r="AR108" t="str">
        <f t="shared" si="4"/>
        <v>French Client</v>
      </c>
      <c r="AS108" t="s">
        <v>64</v>
      </c>
      <c r="AT108">
        <v>36762</v>
      </c>
      <c r="AU108" t="str">
        <f t="shared" si="5"/>
        <v>Medium Client</v>
      </c>
    </row>
    <row r="109" spans="1:47" x14ac:dyDescent="0.25">
      <c r="B109" t="s">
        <v>682</v>
      </c>
      <c r="C109" t="s">
        <v>64</v>
      </c>
      <c r="D109" t="s">
        <v>682</v>
      </c>
      <c r="E109" t="s">
        <v>683</v>
      </c>
      <c r="F109">
        <v>1</v>
      </c>
      <c r="G109" t="s">
        <v>46</v>
      </c>
      <c r="H109" t="s">
        <v>47</v>
      </c>
      <c r="I109" s="1">
        <v>44876</v>
      </c>
      <c r="J109" s="1">
        <v>44876</v>
      </c>
      <c r="K109" t="s">
        <v>47</v>
      </c>
      <c r="L109" t="s">
        <v>48</v>
      </c>
      <c r="M109" t="s">
        <v>47</v>
      </c>
      <c r="N109" s="1">
        <v>44552</v>
      </c>
      <c r="O109" s="1">
        <v>44876</v>
      </c>
      <c r="P109" t="s">
        <v>46</v>
      </c>
      <c r="Q109" t="s">
        <v>47</v>
      </c>
      <c r="R109" t="s">
        <v>47</v>
      </c>
      <c r="S109" t="s">
        <v>47</v>
      </c>
      <c r="V109" t="s">
        <v>47</v>
      </c>
      <c r="W109" t="s">
        <v>50</v>
      </c>
      <c r="X109" s="1">
        <v>44913</v>
      </c>
      <c r="Y109" t="s">
        <v>51</v>
      </c>
      <c r="Z109" s="1">
        <v>45996</v>
      </c>
      <c r="AA109" t="s">
        <v>50</v>
      </c>
      <c r="AB109" t="s">
        <v>52</v>
      </c>
      <c r="AC109" s="2">
        <v>0.15</v>
      </c>
      <c r="AD109" t="s">
        <v>53</v>
      </c>
      <c r="AE109" t="s">
        <v>684</v>
      </c>
      <c r="AG109" t="s">
        <v>685</v>
      </c>
      <c r="AI109">
        <v>29001</v>
      </c>
      <c r="AJ109" t="s">
        <v>71</v>
      </c>
      <c r="AK109" t="s">
        <v>58</v>
      </c>
      <c r="AL109" t="s">
        <v>137</v>
      </c>
      <c r="AM109" t="s">
        <v>60</v>
      </c>
      <c r="AN109" t="s">
        <v>61</v>
      </c>
      <c r="AO109" t="s">
        <v>62</v>
      </c>
      <c r="AQ109" t="str">
        <f t="shared" si="3"/>
        <v>23 Calle Trinidad Grund, MÃ¡laga, , 29001, Espagne</v>
      </c>
      <c r="AR109" t="str">
        <f t="shared" si="4"/>
        <v>International Client</v>
      </c>
      <c r="AS109" t="s">
        <v>64</v>
      </c>
      <c r="AT109">
        <v>24648</v>
      </c>
      <c r="AU109" t="str">
        <f t="shared" si="5"/>
        <v>Medium Client</v>
      </c>
    </row>
    <row r="110" spans="1:47" x14ac:dyDescent="0.25">
      <c r="B110" t="s">
        <v>686</v>
      </c>
      <c r="C110" t="s">
        <v>64</v>
      </c>
      <c r="D110" t="s">
        <v>687</v>
      </c>
      <c r="E110" t="s">
        <v>688</v>
      </c>
      <c r="F110">
        <v>1</v>
      </c>
      <c r="G110" t="s">
        <v>49</v>
      </c>
      <c r="H110" t="s">
        <v>47</v>
      </c>
      <c r="I110" s="1">
        <v>45824</v>
      </c>
      <c r="J110" s="1">
        <v>45824</v>
      </c>
      <c r="K110" t="s">
        <v>47</v>
      </c>
      <c r="L110" t="s">
        <v>48</v>
      </c>
      <c r="M110" t="s">
        <v>47</v>
      </c>
      <c r="N110" s="1">
        <v>45769</v>
      </c>
      <c r="O110" s="1">
        <v>45824</v>
      </c>
      <c r="P110" t="s">
        <v>46</v>
      </c>
      <c r="Q110" t="s">
        <v>47</v>
      </c>
      <c r="R110" t="s">
        <v>47</v>
      </c>
      <c r="S110" t="s">
        <v>47</v>
      </c>
      <c r="V110" t="s">
        <v>47</v>
      </c>
      <c r="W110" t="s">
        <v>50</v>
      </c>
      <c r="X110" s="1">
        <v>45831</v>
      </c>
      <c r="Y110" t="s">
        <v>51</v>
      </c>
      <c r="Z110" s="1">
        <v>46007</v>
      </c>
      <c r="AA110" t="s">
        <v>50</v>
      </c>
      <c r="AB110" t="s">
        <v>52</v>
      </c>
      <c r="AC110" s="2">
        <v>0.15</v>
      </c>
      <c r="AD110" t="s">
        <v>53</v>
      </c>
      <c r="AE110" t="s">
        <v>689</v>
      </c>
      <c r="AG110" t="s">
        <v>495</v>
      </c>
      <c r="AI110">
        <v>13010</v>
      </c>
      <c r="AJ110" t="s">
        <v>87</v>
      </c>
      <c r="AK110" t="s">
        <v>88</v>
      </c>
      <c r="AL110" t="s">
        <v>59</v>
      </c>
      <c r="AM110" t="s">
        <v>98</v>
      </c>
      <c r="AN110" t="s">
        <v>61</v>
      </c>
      <c r="AO110" t="s">
        <v>62</v>
      </c>
      <c r="AQ110" t="str">
        <f t="shared" si="3"/>
        <v>4 Rue Charlois Cadet, Marseille, , 13010, France</v>
      </c>
      <c r="AR110" t="str">
        <f t="shared" si="4"/>
        <v>French Client</v>
      </c>
      <c r="AS110" t="s">
        <v>64</v>
      </c>
      <c r="AT110">
        <v>17616</v>
      </c>
      <c r="AU110" t="str">
        <f t="shared" si="5"/>
        <v>Medium Client</v>
      </c>
    </row>
    <row r="111" spans="1:47" x14ac:dyDescent="0.25">
      <c r="B111" t="s">
        <v>690</v>
      </c>
      <c r="C111" t="s">
        <v>64</v>
      </c>
      <c r="D111" t="s">
        <v>691</v>
      </c>
      <c r="E111" t="s">
        <v>692</v>
      </c>
      <c r="F111">
        <v>2</v>
      </c>
      <c r="G111" t="s">
        <v>46</v>
      </c>
      <c r="H111" t="s">
        <v>47</v>
      </c>
      <c r="I111" s="1">
        <v>44718</v>
      </c>
      <c r="J111" s="1">
        <v>44700</v>
      </c>
      <c r="K111" t="s">
        <v>47</v>
      </c>
      <c r="L111" t="s">
        <v>48</v>
      </c>
      <c r="M111" t="s">
        <v>47</v>
      </c>
      <c r="N111" s="1">
        <v>44697</v>
      </c>
      <c r="O111" s="1">
        <v>44700</v>
      </c>
      <c r="P111" t="s">
        <v>46</v>
      </c>
      <c r="Q111" t="s">
        <v>47</v>
      </c>
      <c r="R111" t="s">
        <v>47</v>
      </c>
      <c r="S111" t="s">
        <v>47</v>
      </c>
      <c r="V111" t="s">
        <v>47</v>
      </c>
      <c r="W111" t="s">
        <v>50</v>
      </c>
      <c r="X111" s="1">
        <v>44752</v>
      </c>
      <c r="Y111" t="s">
        <v>51</v>
      </c>
      <c r="Z111" s="1">
        <v>45554</v>
      </c>
      <c r="AA111" t="s">
        <v>50</v>
      </c>
      <c r="AB111" t="s">
        <v>52</v>
      </c>
      <c r="AC111" s="2">
        <v>0.15</v>
      </c>
      <c r="AD111" t="s">
        <v>53</v>
      </c>
      <c r="AE111" t="s">
        <v>693</v>
      </c>
      <c r="AG111" t="s">
        <v>694</v>
      </c>
      <c r="AI111">
        <v>4432</v>
      </c>
      <c r="AJ111" t="s">
        <v>164</v>
      </c>
      <c r="AK111" t="s">
        <v>58</v>
      </c>
      <c r="AL111" t="s">
        <v>137</v>
      </c>
      <c r="AM111" t="s">
        <v>60</v>
      </c>
      <c r="AN111" t="s">
        <v>61</v>
      </c>
      <c r="AO111" t="s">
        <v>62</v>
      </c>
      <c r="AQ111" t="str">
        <f t="shared" si="3"/>
        <v>5 Rue du Parc, Ans, , 4432, Belgique</v>
      </c>
      <c r="AR111" t="str">
        <f t="shared" si="4"/>
        <v>International Client</v>
      </c>
      <c r="AS111" t="s">
        <v>64</v>
      </c>
      <c r="AT111">
        <v>32405</v>
      </c>
      <c r="AU111" t="str">
        <f t="shared" si="5"/>
        <v>Medium Client</v>
      </c>
    </row>
    <row r="112" spans="1:47" x14ac:dyDescent="0.25">
      <c r="A112" t="s">
        <v>695</v>
      </c>
      <c r="B112" t="s">
        <v>696</v>
      </c>
      <c r="C112" t="s">
        <v>64</v>
      </c>
      <c r="D112" t="s">
        <v>697</v>
      </c>
      <c r="E112" t="s">
        <v>698</v>
      </c>
      <c r="F112">
        <v>1</v>
      </c>
      <c r="G112" t="s">
        <v>49</v>
      </c>
      <c r="H112" t="s">
        <v>47</v>
      </c>
      <c r="I112" s="1">
        <v>45716</v>
      </c>
      <c r="J112" s="1">
        <v>45716</v>
      </c>
      <c r="K112" t="s">
        <v>47</v>
      </c>
      <c r="L112" t="s">
        <v>48</v>
      </c>
      <c r="M112" t="s">
        <v>47</v>
      </c>
      <c r="N112" s="1">
        <v>45327</v>
      </c>
      <c r="O112" s="1">
        <v>45715</v>
      </c>
      <c r="P112" t="s">
        <v>46</v>
      </c>
      <c r="Q112" s="1">
        <v>45721</v>
      </c>
      <c r="R112" t="s">
        <v>47</v>
      </c>
      <c r="S112" s="1">
        <v>46080</v>
      </c>
      <c r="T112" t="s">
        <v>487</v>
      </c>
      <c r="V112" t="s">
        <v>47</v>
      </c>
      <c r="W112" t="s">
        <v>116</v>
      </c>
      <c r="X112" s="1">
        <v>45723</v>
      </c>
      <c r="Y112" t="s">
        <v>51</v>
      </c>
      <c r="Z112" s="1">
        <v>46007</v>
      </c>
      <c r="AA112" t="s">
        <v>117</v>
      </c>
      <c r="AB112" t="s">
        <v>52</v>
      </c>
      <c r="AC112" s="2">
        <v>0</v>
      </c>
      <c r="AD112" t="s">
        <v>53</v>
      </c>
      <c r="AE112" t="s">
        <v>699</v>
      </c>
      <c r="AF112" t="s">
        <v>700</v>
      </c>
      <c r="AG112" t="s">
        <v>701</v>
      </c>
      <c r="AI112">
        <v>60700</v>
      </c>
      <c r="AJ112" t="s">
        <v>87</v>
      </c>
      <c r="AK112" t="s">
        <v>88</v>
      </c>
      <c r="AL112" t="s">
        <v>59</v>
      </c>
      <c r="AM112" t="s">
        <v>60</v>
      </c>
      <c r="AN112" t="s">
        <v>61</v>
      </c>
      <c r="AO112" t="s">
        <v>62</v>
      </c>
      <c r="AQ112" t="str">
        <f t="shared" si="3"/>
        <v>76 Rue de Paris, Saint-Martin-Longueau, , 60700, France</v>
      </c>
      <c r="AR112" t="str">
        <f t="shared" si="4"/>
        <v>French Client</v>
      </c>
      <c r="AS112" t="s">
        <v>64</v>
      </c>
      <c r="AT112">
        <v>25806</v>
      </c>
      <c r="AU112" t="str">
        <f t="shared" si="5"/>
        <v>Medium Client</v>
      </c>
    </row>
    <row r="113" spans="1:47" x14ac:dyDescent="0.25">
      <c r="B113" t="s">
        <v>702</v>
      </c>
      <c r="C113" t="s">
        <v>75</v>
      </c>
      <c r="D113" t="s">
        <v>703</v>
      </c>
      <c r="E113" t="s">
        <v>704</v>
      </c>
      <c r="F113">
        <v>2</v>
      </c>
      <c r="G113" t="s">
        <v>46</v>
      </c>
      <c r="H113" s="1">
        <v>45961</v>
      </c>
      <c r="I113" s="1">
        <v>45961</v>
      </c>
      <c r="J113" s="1">
        <v>45842</v>
      </c>
      <c r="K113" s="1">
        <v>45848</v>
      </c>
      <c r="L113" t="s">
        <v>48</v>
      </c>
      <c r="M113" t="s">
        <v>47</v>
      </c>
      <c r="N113" s="1">
        <v>45295</v>
      </c>
      <c r="O113" s="1">
        <v>45842</v>
      </c>
      <c r="P113" t="s">
        <v>46</v>
      </c>
      <c r="Q113" t="s">
        <v>47</v>
      </c>
      <c r="R113" t="s">
        <v>47</v>
      </c>
      <c r="S113" t="s">
        <v>47</v>
      </c>
      <c r="T113" t="s">
        <v>67</v>
      </c>
      <c r="V113" t="s">
        <v>47</v>
      </c>
      <c r="W113" t="s">
        <v>50</v>
      </c>
      <c r="X113" s="1">
        <v>45971</v>
      </c>
      <c r="Y113" t="s">
        <v>51</v>
      </c>
      <c r="Z113" s="1">
        <v>46007</v>
      </c>
      <c r="AA113" t="s">
        <v>50</v>
      </c>
      <c r="AB113" t="s">
        <v>52</v>
      </c>
      <c r="AC113" s="2">
        <v>0.15</v>
      </c>
      <c r="AD113" t="s">
        <v>53</v>
      </c>
      <c r="AE113" t="s">
        <v>705</v>
      </c>
      <c r="AF113" t="s">
        <v>706</v>
      </c>
      <c r="AG113" t="s">
        <v>707</v>
      </c>
      <c r="AI113">
        <v>33260</v>
      </c>
      <c r="AJ113" t="s">
        <v>87</v>
      </c>
      <c r="AK113" t="s">
        <v>88</v>
      </c>
      <c r="AL113" t="s">
        <v>59</v>
      </c>
      <c r="AM113" t="s">
        <v>60</v>
      </c>
      <c r="AN113" t="s">
        <v>61</v>
      </c>
      <c r="AO113" t="s">
        <v>62</v>
      </c>
      <c r="AQ113" t="str">
        <f t="shared" si="3"/>
        <v>CC CAP OCEAN, LA TESTE DE BUCH, , 33260, France</v>
      </c>
      <c r="AR113" t="str">
        <f t="shared" si="4"/>
        <v>French Client</v>
      </c>
      <c r="AS113" t="s">
        <v>75</v>
      </c>
      <c r="AT113">
        <v>71534</v>
      </c>
      <c r="AU113" t="str">
        <f t="shared" si="5"/>
        <v>High Client</v>
      </c>
    </row>
    <row r="114" spans="1:47" x14ac:dyDescent="0.25">
      <c r="B114" t="s">
        <v>708</v>
      </c>
      <c r="C114" t="s">
        <v>43</v>
      </c>
      <c r="D114" t="s">
        <v>709</v>
      </c>
      <c r="E114" t="s">
        <v>710</v>
      </c>
      <c r="F114">
        <v>1</v>
      </c>
      <c r="G114" t="s">
        <v>711</v>
      </c>
      <c r="H114" s="1">
        <v>46002</v>
      </c>
      <c r="I114" s="1">
        <v>45971</v>
      </c>
      <c r="J114" s="1">
        <v>45971</v>
      </c>
      <c r="K114" s="1">
        <v>45979</v>
      </c>
      <c r="L114" t="s">
        <v>48</v>
      </c>
      <c r="M114" s="1">
        <v>46007</v>
      </c>
      <c r="N114" s="1">
        <v>45847</v>
      </c>
      <c r="O114" s="1">
        <v>45971</v>
      </c>
      <c r="P114" t="s">
        <v>712</v>
      </c>
      <c r="Q114" t="s">
        <v>47</v>
      </c>
      <c r="R114" t="s">
        <v>47</v>
      </c>
      <c r="S114" t="s">
        <v>47</v>
      </c>
      <c r="V114" t="s">
        <v>47</v>
      </c>
      <c r="W114" t="s">
        <v>50</v>
      </c>
      <c r="X114" s="1">
        <v>45979</v>
      </c>
      <c r="Y114" t="s">
        <v>51</v>
      </c>
      <c r="Z114" s="1">
        <v>46007</v>
      </c>
      <c r="AA114" t="s">
        <v>50</v>
      </c>
      <c r="AB114" t="s">
        <v>52</v>
      </c>
      <c r="AC114" s="2">
        <v>0.15</v>
      </c>
      <c r="AD114" t="s">
        <v>53</v>
      </c>
      <c r="AE114" t="s">
        <v>713</v>
      </c>
      <c r="AG114" t="s">
        <v>714</v>
      </c>
      <c r="AI114" t="s">
        <v>715</v>
      </c>
      <c r="AJ114" t="s">
        <v>716</v>
      </c>
      <c r="AK114" t="s">
        <v>58</v>
      </c>
      <c r="AL114" t="s">
        <v>59</v>
      </c>
      <c r="AM114" t="s">
        <v>60</v>
      </c>
      <c r="AN114" t="s">
        <v>61</v>
      </c>
      <c r="AO114" t="s">
        <v>62</v>
      </c>
      <c r="AQ114" t="str">
        <f t="shared" si="3"/>
        <v>Miejska Dabrowa 31, GLOWACZOW, , 26-903, Pologne</v>
      </c>
      <c r="AR114" t="str">
        <f t="shared" si="4"/>
        <v>International Client</v>
      </c>
      <c r="AS114" t="s">
        <v>43</v>
      </c>
      <c r="AT114">
        <v>33360</v>
      </c>
      <c r="AU114" t="str">
        <f t="shared" si="5"/>
        <v>Medium Client</v>
      </c>
    </row>
    <row r="115" spans="1:47" x14ac:dyDescent="0.25">
      <c r="B115" t="s">
        <v>717</v>
      </c>
      <c r="C115" t="s">
        <v>64</v>
      </c>
      <c r="D115" t="s">
        <v>718</v>
      </c>
      <c r="E115" t="s">
        <v>719</v>
      </c>
      <c r="F115">
        <v>3</v>
      </c>
      <c r="G115" t="s">
        <v>46</v>
      </c>
      <c r="H115" s="1">
        <v>45978</v>
      </c>
      <c r="I115" s="1">
        <v>45978</v>
      </c>
      <c r="J115" s="1">
        <v>45950</v>
      </c>
      <c r="K115" s="1">
        <v>45958</v>
      </c>
      <c r="L115" t="s">
        <v>48</v>
      </c>
      <c r="M115" t="s">
        <v>47</v>
      </c>
      <c r="N115" s="1">
        <v>44601</v>
      </c>
      <c r="O115" s="1">
        <v>45950</v>
      </c>
      <c r="P115" t="s">
        <v>101</v>
      </c>
      <c r="Q115" t="s">
        <v>47</v>
      </c>
      <c r="R115" t="s">
        <v>47</v>
      </c>
      <c r="S115" t="s">
        <v>47</v>
      </c>
      <c r="V115" t="s">
        <v>47</v>
      </c>
      <c r="W115" t="s">
        <v>50</v>
      </c>
      <c r="X115" s="1">
        <v>45988</v>
      </c>
      <c r="Y115" t="s">
        <v>51</v>
      </c>
      <c r="Z115" s="1">
        <v>46007</v>
      </c>
      <c r="AA115" t="s">
        <v>50</v>
      </c>
      <c r="AB115" t="s">
        <v>52</v>
      </c>
      <c r="AC115" s="2">
        <v>0.15</v>
      </c>
      <c r="AD115" t="s">
        <v>53</v>
      </c>
      <c r="AE115" t="s">
        <v>720</v>
      </c>
      <c r="AG115" t="s">
        <v>721</v>
      </c>
      <c r="AI115">
        <v>7048</v>
      </c>
      <c r="AJ115" t="s">
        <v>104</v>
      </c>
      <c r="AK115" t="s">
        <v>58</v>
      </c>
      <c r="AL115" t="s">
        <v>59</v>
      </c>
      <c r="AM115" t="s">
        <v>60</v>
      </c>
      <c r="AN115" t="s">
        <v>61</v>
      </c>
      <c r="AO115" t="s">
        <v>62</v>
      </c>
      <c r="AQ115" t="s">
        <v>1356</v>
      </c>
      <c r="AR115" t="str">
        <f t="shared" si="4"/>
        <v>International Client</v>
      </c>
      <c r="AS115" t="s">
        <v>64</v>
      </c>
      <c r="AT115">
        <v>47920</v>
      </c>
      <c r="AU115" t="str">
        <f t="shared" si="5"/>
        <v>Medium Client</v>
      </c>
    </row>
    <row r="116" spans="1:47" x14ac:dyDescent="0.25">
      <c r="B116" t="s">
        <v>722</v>
      </c>
      <c r="C116" t="s">
        <v>112</v>
      </c>
      <c r="D116" t="s">
        <v>723</v>
      </c>
      <c r="E116" t="s">
        <v>724</v>
      </c>
      <c r="F116">
        <v>1</v>
      </c>
      <c r="G116" t="s">
        <v>46</v>
      </c>
      <c r="H116" t="s">
        <v>47</v>
      </c>
      <c r="I116" s="1">
        <v>44683</v>
      </c>
      <c r="J116" s="1">
        <v>44683</v>
      </c>
      <c r="K116" t="s">
        <v>47</v>
      </c>
      <c r="L116" t="s">
        <v>48</v>
      </c>
      <c r="M116" t="s">
        <v>47</v>
      </c>
      <c r="N116" s="1">
        <v>44675</v>
      </c>
      <c r="O116" s="1">
        <v>44683</v>
      </c>
      <c r="P116" t="s">
        <v>46</v>
      </c>
      <c r="Q116" t="s">
        <v>47</v>
      </c>
      <c r="R116" t="s">
        <v>47</v>
      </c>
      <c r="S116" t="s">
        <v>47</v>
      </c>
      <c r="V116" t="s">
        <v>47</v>
      </c>
      <c r="W116" t="s">
        <v>50</v>
      </c>
      <c r="X116" s="1">
        <v>44720</v>
      </c>
      <c r="Y116" t="s">
        <v>51</v>
      </c>
      <c r="Z116" s="1">
        <v>46007</v>
      </c>
      <c r="AA116" t="s">
        <v>50</v>
      </c>
      <c r="AB116" t="s">
        <v>52</v>
      </c>
      <c r="AC116" s="2">
        <v>0.15</v>
      </c>
      <c r="AD116" t="s">
        <v>53</v>
      </c>
      <c r="AE116" t="s">
        <v>725</v>
      </c>
      <c r="AG116" t="s">
        <v>726</v>
      </c>
      <c r="AI116">
        <v>47220</v>
      </c>
      <c r="AJ116" t="s">
        <v>87</v>
      </c>
      <c r="AK116" t="s">
        <v>88</v>
      </c>
      <c r="AL116" t="s">
        <v>59</v>
      </c>
      <c r="AM116" t="s">
        <v>60</v>
      </c>
      <c r="AN116" t="s">
        <v>61</v>
      </c>
      <c r="AO116" t="s">
        <v>62</v>
      </c>
      <c r="AQ116" t="str">
        <f t="shared" si="3"/>
        <v>619 Route du Double, Saint-Sixte, , 47220, France</v>
      </c>
      <c r="AR116" t="str">
        <f t="shared" si="4"/>
        <v>French Client</v>
      </c>
      <c r="AS116" t="s">
        <v>112</v>
      </c>
      <c r="AT116">
        <v>28085</v>
      </c>
      <c r="AU116" t="str">
        <f t="shared" si="5"/>
        <v>Medium Client</v>
      </c>
    </row>
    <row r="117" spans="1:47" x14ac:dyDescent="0.25">
      <c r="B117" t="s">
        <v>727</v>
      </c>
      <c r="C117" t="s">
        <v>90</v>
      </c>
      <c r="D117" t="s">
        <v>728</v>
      </c>
      <c r="E117" t="s">
        <v>729</v>
      </c>
      <c r="F117">
        <v>5</v>
      </c>
      <c r="G117" t="s">
        <v>46</v>
      </c>
      <c r="H117" s="1">
        <v>45954</v>
      </c>
      <c r="I117" s="1">
        <v>45954</v>
      </c>
      <c r="J117" s="1">
        <v>45316</v>
      </c>
      <c r="K117" s="1">
        <v>45352</v>
      </c>
      <c r="L117" t="s">
        <v>48</v>
      </c>
      <c r="M117" t="s">
        <v>47</v>
      </c>
      <c r="N117" s="1">
        <v>44855</v>
      </c>
      <c r="O117" s="1">
        <v>45316</v>
      </c>
      <c r="P117" t="s">
        <v>46</v>
      </c>
      <c r="Q117" t="s">
        <v>47</v>
      </c>
      <c r="R117" t="s">
        <v>47</v>
      </c>
      <c r="S117" t="s">
        <v>47</v>
      </c>
      <c r="V117" t="s">
        <v>47</v>
      </c>
      <c r="W117" t="s">
        <v>50</v>
      </c>
      <c r="X117" s="1">
        <v>45959</v>
      </c>
      <c r="Y117" t="s">
        <v>51</v>
      </c>
      <c r="Z117" s="1">
        <v>46007</v>
      </c>
      <c r="AA117" t="s">
        <v>50</v>
      </c>
      <c r="AB117" t="s">
        <v>52</v>
      </c>
      <c r="AC117" s="2">
        <v>0.15</v>
      </c>
      <c r="AD117" t="s">
        <v>53</v>
      </c>
      <c r="AE117" t="s">
        <v>730</v>
      </c>
      <c r="AG117" t="s">
        <v>731</v>
      </c>
      <c r="AI117">
        <v>31800</v>
      </c>
      <c r="AJ117" t="s">
        <v>87</v>
      </c>
      <c r="AK117" t="s">
        <v>88</v>
      </c>
      <c r="AL117" t="s">
        <v>59</v>
      </c>
      <c r="AM117" t="s">
        <v>60</v>
      </c>
      <c r="AN117" t="s">
        <v>61</v>
      </c>
      <c r="AO117" t="s">
        <v>62</v>
      </c>
      <c r="AQ117" t="str">
        <f t="shared" si="3"/>
        <v>47 Avenue de l'Isle, Saint-Gaudens, , 31800, France</v>
      </c>
      <c r="AR117" t="str">
        <f t="shared" si="4"/>
        <v>French Client</v>
      </c>
      <c r="AS117" t="s">
        <v>90</v>
      </c>
      <c r="AT117">
        <v>137836</v>
      </c>
      <c r="AU117" t="str">
        <f t="shared" si="5"/>
        <v>High Client</v>
      </c>
    </row>
    <row r="118" spans="1:47" x14ac:dyDescent="0.25">
      <c r="B118" t="s">
        <v>732</v>
      </c>
      <c r="C118" t="s">
        <v>64</v>
      </c>
      <c r="D118" t="s">
        <v>733</v>
      </c>
      <c r="E118" t="s">
        <v>734</v>
      </c>
      <c r="F118">
        <v>1</v>
      </c>
      <c r="G118" t="s">
        <v>735</v>
      </c>
      <c r="H118" s="1">
        <v>45871</v>
      </c>
      <c r="I118" s="1">
        <v>45864</v>
      </c>
      <c r="J118" s="1">
        <v>45864</v>
      </c>
      <c r="K118" s="1">
        <v>45870</v>
      </c>
      <c r="L118" t="s">
        <v>48</v>
      </c>
      <c r="M118" t="s">
        <v>47</v>
      </c>
      <c r="N118" s="1">
        <v>45779</v>
      </c>
      <c r="O118" s="1">
        <v>45864</v>
      </c>
      <c r="P118" t="s">
        <v>46</v>
      </c>
      <c r="Q118" t="s">
        <v>47</v>
      </c>
      <c r="R118" t="s">
        <v>47</v>
      </c>
      <c r="S118" t="s">
        <v>47</v>
      </c>
      <c r="V118" t="s">
        <v>47</v>
      </c>
      <c r="W118" t="s">
        <v>50</v>
      </c>
      <c r="X118" s="1">
        <v>45870</v>
      </c>
      <c r="Y118" t="s">
        <v>51</v>
      </c>
      <c r="Z118" s="1">
        <v>46007</v>
      </c>
      <c r="AA118" t="s">
        <v>50</v>
      </c>
      <c r="AB118" t="s">
        <v>52</v>
      </c>
      <c r="AC118" s="2">
        <v>0.15</v>
      </c>
      <c r="AD118" t="s">
        <v>53</v>
      </c>
      <c r="AE118" t="s">
        <v>736</v>
      </c>
      <c r="AG118" t="s">
        <v>737</v>
      </c>
      <c r="AI118">
        <v>72500</v>
      </c>
      <c r="AJ118" t="s">
        <v>87</v>
      </c>
      <c r="AK118" t="s">
        <v>88</v>
      </c>
      <c r="AL118" t="s">
        <v>59</v>
      </c>
      <c r="AM118" t="s">
        <v>60</v>
      </c>
      <c r="AN118" t="s">
        <v>61</v>
      </c>
      <c r="AO118" t="s">
        <v>62</v>
      </c>
      <c r="AQ118" t="str">
        <f t="shared" si="3"/>
        <v>4 Rue Sainte-Marguerite, Dissay-sous-Courcillon, , 72500, France</v>
      </c>
      <c r="AR118" t="str">
        <f t="shared" si="4"/>
        <v>French Client</v>
      </c>
      <c r="AS118" t="s">
        <v>64</v>
      </c>
      <c r="AT118">
        <v>28252</v>
      </c>
      <c r="AU118" t="str">
        <f t="shared" si="5"/>
        <v>Medium Client</v>
      </c>
    </row>
    <row r="119" spans="1:47" x14ac:dyDescent="0.25">
      <c r="B119" t="s">
        <v>738</v>
      </c>
      <c r="C119" t="s">
        <v>285</v>
      </c>
      <c r="D119" t="s">
        <v>739</v>
      </c>
      <c r="E119" t="s">
        <v>533</v>
      </c>
      <c r="F119">
        <v>1</v>
      </c>
      <c r="G119" t="s">
        <v>49</v>
      </c>
      <c r="H119" t="s">
        <v>47</v>
      </c>
      <c r="I119" s="1">
        <v>45826</v>
      </c>
      <c r="J119" s="1">
        <v>45826</v>
      </c>
      <c r="K119" t="s">
        <v>47</v>
      </c>
      <c r="L119" t="s">
        <v>48</v>
      </c>
      <c r="M119" t="s">
        <v>47</v>
      </c>
      <c r="N119" s="1">
        <v>44340</v>
      </c>
      <c r="O119" s="1">
        <v>45826</v>
      </c>
      <c r="P119" t="s">
        <v>46</v>
      </c>
      <c r="Q119" t="s">
        <v>47</v>
      </c>
      <c r="R119" t="s">
        <v>47</v>
      </c>
      <c r="S119" t="s">
        <v>47</v>
      </c>
      <c r="V119" t="s">
        <v>47</v>
      </c>
      <c r="W119" t="s">
        <v>50</v>
      </c>
      <c r="X119" s="1">
        <v>45835</v>
      </c>
      <c r="Y119" t="s">
        <v>51</v>
      </c>
      <c r="Z119" s="1">
        <v>46007</v>
      </c>
      <c r="AA119" t="s">
        <v>50</v>
      </c>
      <c r="AB119" t="s">
        <v>52</v>
      </c>
      <c r="AC119" s="2">
        <v>0.15</v>
      </c>
      <c r="AD119" t="s">
        <v>53</v>
      </c>
      <c r="AE119" t="s">
        <v>740</v>
      </c>
      <c r="AG119" t="s">
        <v>741</v>
      </c>
      <c r="AI119">
        <v>35000</v>
      </c>
      <c r="AJ119" t="s">
        <v>87</v>
      </c>
      <c r="AK119" t="s">
        <v>88</v>
      </c>
      <c r="AL119" t="s">
        <v>59</v>
      </c>
      <c r="AM119" t="s">
        <v>60</v>
      </c>
      <c r="AN119" t="s">
        <v>61</v>
      </c>
      <c r="AO119" t="s">
        <v>62</v>
      </c>
      <c r="AQ119" t="str">
        <f t="shared" si="3"/>
        <v>12 Rue du Chapitre, Rennes, , 35000, France</v>
      </c>
      <c r="AR119" t="str">
        <f t="shared" si="4"/>
        <v>French Client</v>
      </c>
      <c r="AS119" t="s">
        <v>285</v>
      </c>
      <c r="AT119">
        <v>15680</v>
      </c>
      <c r="AU119" t="str">
        <f t="shared" si="5"/>
        <v>Medium Client</v>
      </c>
    </row>
    <row r="120" spans="1:47" x14ac:dyDescent="0.25">
      <c r="B120" t="s">
        <v>742</v>
      </c>
      <c r="C120" t="s">
        <v>64</v>
      </c>
      <c r="D120" t="s">
        <v>743</v>
      </c>
      <c r="E120" t="s">
        <v>744</v>
      </c>
      <c r="F120">
        <v>1</v>
      </c>
      <c r="G120" t="s">
        <v>49</v>
      </c>
      <c r="H120" t="s">
        <v>47</v>
      </c>
      <c r="I120" s="1">
        <v>45966</v>
      </c>
      <c r="J120" s="1">
        <v>45966</v>
      </c>
      <c r="K120" s="1">
        <v>45975</v>
      </c>
      <c r="L120" t="s">
        <v>48</v>
      </c>
      <c r="M120" t="s">
        <v>47</v>
      </c>
      <c r="N120" s="1">
        <v>45760</v>
      </c>
      <c r="O120" s="1">
        <v>45966</v>
      </c>
      <c r="P120" t="s">
        <v>46</v>
      </c>
      <c r="Q120" t="s">
        <v>47</v>
      </c>
      <c r="R120" t="s">
        <v>47</v>
      </c>
      <c r="S120" t="s">
        <v>47</v>
      </c>
      <c r="V120" t="s">
        <v>47</v>
      </c>
      <c r="W120" t="s">
        <v>50</v>
      </c>
      <c r="X120" s="1">
        <v>45975</v>
      </c>
      <c r="Y120" t="s">
        <v>51</v>
      </c>
      <c r="Z120" s="1">
        <v>46007</v>
      </c>
      <c r="AA120" t="s">
        <v>50</v>
      </c>
      <c r="AB120" t="s">
        <v>52</v>
      </c>
      <c r="AC120" s="2">
        <v>0.15</v>
      </c>
      <c r="AD120" t="s">
        <v>53</v>
      </c>
      <c r="AE120" t="s">
        <v>745</v>
      </c>
      <c r="AG120" t="s">
        <v>746</v>
      </c>
      <c r="AI120">
        <v>1340</v>
      </c>
      <c r="AJ120" t="s">
        <v>87</v>
      </c>
      <c r="AK120" t="s">
        <v>88</v>
      </c>
      <c r="AL120" t="s">
        <v>59</v>
      </c>
      <c r="AM120" t="s">
        <v>60</v>
      </c>
      <c r="AN120" t="s">
        <v>61</v>
      </c>
      <c r="AO120" t="s">
        <v>62</v>
      </c>
      <c r="AQ120" t="str">
        <f t="shared" si="3"/>
        <v>66 Chemin des Ã‰coliers, Attignat, , 1340, France</v>
      </c>
      <c r="AR120" t="str">
        <f t="shared" si="4"/>
        <v>French Client</v>
      </c>
      <c r="AS120" t="s">
        <v>64</v>
      </c>
      <c r="AT120">
        <v>15400</v>
      </c>
      <c r="AU120" t="str">
        <f t="shared" si="5"/>
        <v>Medium Client</v>
      </c>
    </row>
    <row r="121" spans="1:47" x14ac:dyDescent="0.25">
      <c r="B121" t="s">
        <v>747</v>
      </c>
      <c r="C121" t="s">
        <v>112</v>
      </c>
      <c r="D121" t="s">
        <v>748</v>
      </c>
      <c r="E121" t="s">
        <v>749</v>
      </c>
      <c r="F121">
        <v>1</v>
      </c>
      <c r="G121" t="s">
        <v>750</v>
      </c>
      <c r="H121" s="1">
        <v>45730</v>
      </c>
      <c r="I121" s="1">
        <v>44752</v>
      </c>
      <c r="J121" s="1">
        <v>44752</v>
      </c>
      <c r="K121" t="s">
        <v>47</v>
      </c>
      <c r="L121" t="s">
        <v>48</v>
      </c>
      <c r="M121" t="s">
        <v>47</v>
      </c>
      <c r="N121" s="1">
        <v>44616</v>
      </c>
      <c r="O121" s="1">
        <v>44752</v>
      </c>
      <c r="P121" t="s">
        <v>46</v>
      </c>
      <c r="Q121" t="s">
        <v>47</v>
      </c>
      <c r="R121" t="s">
        <v>47</v>
      </c>
      <c r="S121" t="s">
        <v>47</v>
      </c>
      <c r="T121" t="s">
        <v>67</v>
      </c>
      <c r="V121" t="s">
        <v>47</v>
      </c>
      <c r="W121" t="s">
        <v>50</v>
      </c>
      <c r="X121" s="1">
        <v>44785</v>
      </c>
      <c r="Y121" t="s">
        <v>51</v>
      </c>
      <c r="Z121" s="1">
        <v>46007</v>
      </c>
      <c r="AA121" t="s">
        <v>50</v>
      </c>
      <c r="AB121" t="s">
        <v>52</v>
      </c>
      <c r="AC121" s="2">
        <v>0.15</v>
      </c>
      <c r="AD121" t="s">
        <v>53</v>
      </c>
      <c r="AE121" t="s">
        <v>751</v>
      </c>
      <c r="AG121" t="s">
        <v>752</v>
      </c>
      <c r="AI121">
        <v>13210</v>
      </c>
      <c r="AJ121" t="s">
        <v>87</v>
      </c>
      <c r="AK121" t="s">
        <v>88</v>
      </c>
      <c r="AL121" t="s">
        <v>59</v>
      </c>
      <c r="AM121" t="s">
        <v>60</v>
      </c>
      <c r="AN121" t="s">
        <v>61</v>
      </c>
      <c r="AO121" t="s">
        <v>62</v>
      </c>
      <c r="AQ121" t="str">
        <f t="shared" si="3"/>
        <v>3 Rue Lafayette, Saint-RÃ©my-de-Provence, , 13210, France</v>
      </c>
      <c r="AR121" t="str">
        <f t="shared" si="4"/>
        <v>French Client</v>
      </c>
      <c r="AS121" t="s">
        <v>112</v>
      </c>
      <c r="AT121">
        <v>49560</v>
      </c>
      <c r="AU121" t="str">
        <f t="shared" si="5"/>
        <v>Medium Client</v>
      </c>
    </row>
    <row r="122" spans="1:47" x14ac:dyDescent="0.25">
      <c r="B122" t="s">
        <v>753</v>
      </c>
      <c r="C122" t="s">
        <v>64</v>
      </c>
      <c r="D122" t="s">
        <v>754</v>
      </c>
      <c r="E122" t="s">
        <v>755</v>
      </c>
      <c r="F122">
        <v>3</v>
      </c>
      <c r="G122" t="s">
        <v>756</v>
      </c>
      <c r="H122" s="1">
        <v>46007</v>
      </c>
      <c r="I122" s="1">
        <v>45979</v>
      </c>
      <c r="J122" s="1">
        <v>44935</v>
      </c>
      <c r="K122" s="1">
        <v>44969</v>
      </c>
      <c r="L122" t="s">
        <v>48</v>
      </c>
      <c r="M122" t="s">
        <v>47</v>
      </c>
      <c r="N122" s="1">
        <v>44781</v>
      </c>
      <c r="O122" s="1">
        <v>44935</v>
      </c>
      <c r="P122" t="s">
        <v>46</v>
      </c>
      <c r="Q122" t="s">
        <v>47</v>
      </c>
      <c r="R122" t="s">
        <v>47</v>
      </c>
      <c r="S122" t="s">
        <v>47</v>
      </c>
      <c r="T122" t="s">
        <v>67</v>
      </c>
      <c r="V122" t="s">
        <v>47</v>
      </c>
      <c r="W122" t="s">
        <v>50</v>
      </c>
      <c r="X122" s="1">
        <v>45986</v>
      </c>
      <c r="Y122" t="s">
        <v>51</v>
      </c>
      <c r="Z122" s="1">
        <v>46007</v>
      </c>
      <c r="AA122" t="s">
        <v>50</v>
      </c>
      <c r="AB122" t="s">
        <v>52</v>
      </c>
      <c r="AC122" s="2">
        <v>0.15</v>
      </c>
      <c r="AD122" t="s">
        <v>53</v>
      </c>
      <c r="AE122" t="s">
        <v>757</v>
      </c>
      <c r="AG122" t="s">
        <v>758</v>
      </c>
      <c r="AI122">
        <v>42210</v>
      </c>
      <c r="AJ122" t="s">
        <v>87</v>
      </c>
      <c r="AK122" t="s">
        <v>88</v>
      </c>
      <c r="AL122" t="s">
        <v>59</v>
      </c>
      <c r="AM122" t="s">
        <v>60</v>
      </c>
      <c r="AN122" t="s">
        <v>61</v>
      </c>
      <c r="AO122" t="s">
        <v>62</v>
      </c>
      <c r="AQ122" t="str">
        <f t="shared" si="3"/>
        <v>23 Avenue du Pont, Montrond-les-Bains, , 42210, France</v>
      </c>
      <c r="AR122" t="str">
        <f t="shared" si="4"/>
        <v>French Client</v>
      </c>
      <c r="AS122" t="s">
        <v>64</v>
      </c>
      <c r="AT122">
        <v>58404</v>
      </c>
      <c r="AU122" t="str">
        <f t="shared" si="5"/>
        <v>High Client</v>
      </c>
    </row>
    <row r="123" spans="1:47" x14ac:dyDescent="0.25">
      <c r="B123" t="s">
        <v>759</v>
      </c>
      <c r="C123" t="s">
        <v>90</v>
      </c>
      <c r="D123" t="s">
        <v>760</v>
      </c>
      <c r="E123" t="s">
        <v>761</v>
      </c>
      <c r="F123">
        <v>1</v>
      </c>
      <c r="G123" t="s">
        <v>46</v>
      </c>
      <c r="H123" t="s">
        <v>47</v>
      </c>
      <c r="I123" s="1">
        <v>45495</v>
      </c>
      <c r="J123" s="1">
        <v>45495</v>
      </c>
      <c r="K123" t="s">
        <v>47</v>
      </c>
      <c r="L123" t="s">
        <v>48</v>
      </c>
      <c r="M123" t="s">
        <v>47</v>
      </c>
      <c r="N123" s="1">
        <v>44601</v>
      </c>
      <c r="O123" s="1">
        <v>45495</v>
      </c>
      <c r="P123" t="s">
        <v>46</v>
      </c>
      <c r="Q123" t="s">
        <v>47</v>
      </c>
      <c r="R123" t="s">
        <v>47</v>
      </c>
      <c r="S123" t="s">
        <v>47</v>
      </c>
      <c r="T123" t="s">
        <v>67</v>
      </c>
      <c r="V123" t="s">
        <v>47</v>
      </c>
      <c r="W123" t="s">
        <v>50</v>
      </c>
      <c r="X123" s="1">
        <v>45499</v>
      </c>
      <c r="Y123" t="s">
        <v>51</v>
      </c>
      <c r="Z123" s="1">
        <v>45582</v>
      </c>
      <c r="AA123" t="s">
        <v>50</v>
      </c>
      <c r="AB123" t="s">
        <v>52</v>
      </c>
      <c r="AC123" s="2">
        <v>0.15</v>
      </c>
      <c r="AD123" t="s">
        <v>53</v>
      </c>
      <c r="AE123" t="s">
        <v>762</v>
      </c>
      <c r="AG123" t="s">
        <v>763</v>
      </c>
      <c r="AI123">
        <v>62136</v>
      </c>
      <c r="AJ123" t="s">
        <v>87</v>
      </c>
      <c r="AK123" t="s">
        <v>88</v>
      </c>
      <c r="AL123" t="s">
        <v>511</v>
      </c>
      <c r="AM123" t="s">
        <v>60</v>
      </c>
      <c r="AN123" t="s">
        <v>61</v>
      </c>
      <c r="AO123" t="s">
        <v>62</v>
      </c>
      <c r="AQ123" t="str">
        <f t="shared" si="3"/>
        <v>14 Rue du Moulin l'AvouÃ©, Richebourg, , 62136, France</v>
      </c>
      <c r="AR123" t="str">
        <f t="shared" si="4"/>
        <v>French Client</v>
      </c>
      <c r="AS123" t="s">
        <v>90</v>
      </c>
      <c r="AT123">
        <v>26868</v>
      </c>
      <c r="AU123" t="str">
        <f t="shared" si="5"/>
        <v>Medium Client</v>
      </c>
    </row>
    <row r="124" spans="1:47" x14ac:dyDescent="0.25">
      <c r="B124" t="s">
        <v>764</v>
      </c>
      <c r="C124" t="s">
        <v>64</v>
      </c>
      <c r="D124" t="s">
        <v>765</v>
      </c>
      <c r="E124" t="s">
        <v>766</v>
      </c>
      <c r="F124">
        <v>1</v>
      </c>
      <c r="G124" t="s">
        <v>49</v>
      </c>
      <c r="H124" t="s">
        <v>47</v>
      </c>
      <c r="I124" s="1">
        <v>45614</v>
      </c>
      <c r="J124" s="1">
        <v>45614</v>
      </c>
      <c r="K124" t="s">
        <v>47</v>
      </c>
      <c r="L124" t="s">
        <v>48</v>
      </c>
      <c r="M124" t="s">
        <v>47</v>
      </c>
      <c r="N124" s="1">
        <v>45588</v>
      </c>
      <c r="O124" s="1">
        <v>45614</v>
      </c>
      <c r="P124" t="s">
        <v>46</v>
      </c>
      <c r="Q124" t="s">
        <v>47</v>
      </c>
      <c r="R124" t="s">
        <v>47</v>
      </c>
      <c r="S124" t="s">
        <v>47</v>
      </c>
      <c r="T124" t="s">
        <v>67</v>
      </c>
      <c r="V124" t="s">
        <v>47</v>
      </c>
      <c r="W124" t="s">
        <v>50</v>
      </c>
      <c r="X124" s="1">
        <v>45618</v>
      </c>
      <c r="Y124" t="s">
        <v>51</v>
      </c>
      <c r="Z124" s="1">
        <v>46007</v>
      </c>
      <c r="AA124" t="s">
        <v>50</v>
      </c>
      <c r="AB124" t="s">
        <v>52</v>
      </c>
      <c r="AC124" s="2">
        <v>0.15</v>
      </c>
      <c r="AD124" t="s">
        <v>53</v>
      </c>
      <c r="AE124" t="s">
        <v>767</v>
      </c>
      <c r="AG124" t="s">
        <v>768</v>
      </c>
      <c r="AI124">
        <v>69330</v>
      </c>
      <c r="AJ124" t="s">
        <v>87</v>
      </c>
      <c r="AK124" t="s">
        <v>88</v>
      </c>
      <c r="AL124" t="s">
        <v>59</v>
      </c>
      <c r="AM124" t="s">
        <v>98</v>
      </c>
      <c r="AN124" t="s">
        <v>61</v>
      </c>
      <c r="AO124" t="s">
        <v>62</v>
      </c>
      <c r="AQ124" t="str">
        <f t="shared" si="3"/>
        <v>17 Rue de Verdun, Jonage, , 69330, France</v>
      </c>
      <c r="AR124" t="str">
        <f t="shared" si="4"/>
        <v>French Client</v>
      </c>
      <c r="AS124" t="s">
        <v>64</v>
      </c>
      <c r="AT124">
        <v>10316</v>
      </c>
      <c r="AU124" t="str">
        <f t="shared" si="5"/>
        <v>Medium Client</v>
      </c>
    </row>
    <row r="125" spans="1:47" x14ac:dyDescent="0.25">
      <c r="B125" t="s">
        <v>769</v>
      </c>
      <c r="C125" t="s">
        <v>285</v>
      </c>
      <c r="D125" t="s">
        <v>770</v>
      </c>
      <c r="E125" t="s">
        <v>771</v>
      </c>
      <c r="F125">
        <v>1</v>
      </c>
      <c r="G125" t="s">
        <v>49</v>
      </c>
      <c r="H125" t="s">
        <v>47</v>
      </c>
      <c r="I125" s="1">
        <v>45603</v>
      </c>
      <c r="J125" s="1">
        <v>45603</v>
      </c>
      <c r="K125" t="s">
        <v>47</v>
      </c>
      <c r="L125" t="s">
        <v>48</v>
      </c>
      <c r="M125" s="1">
        <v>45756</v>
      </c>
      <c r="N125" s="1">
        <v>44694</v>
      </c>
      <c r="O125" s="1">
        <v>45603</v>
      </c>
      <c r="P125" t="s">
        <v>46</v>
      </c>
      <c r="Q125" t="s">
        <v>47</v>
      </c>
      <c r="R125" t="s">
        <v>47</v>
      </c>
      <c r="S125" t="s">
        <v>47</v>
      </c>
      <c r="V125" t="s">
        <v>47</v>
      </c>
      <c r="W125" t="s">
        <v>50</v>
      </c>
      <c r="X125" s="1">
        <v>45616</v>
      </c>
      <c r="Y125" t="s">
        <v>51</v>
      </c>
      <c r="Z125" s="1">
        <v>46007</v>
      </c>
      <c r="AA125" t="s">
        <v>50</v>
      </c>
      <c r="AB125" t="s">
        <v>52</v>
      </c>
      <c r="AC125" s="2">
        <v>0.15</v>
      </c>
      <c r="AD125" t="s">
        <v>53</v>
      </c>
      <c r="AE125" t="s">
        <v>772</v>
      </c>
      <c r="AG125" t="s">
        <v>773</v>
      </c>
      <c r="AI125">
        <v>59111</v>
      </c>
      <c r="AJ125" t="s">
        <v>87</v>
      </c>
      <c r="AK125" t="s">
        <v>88</v>
      </c>
      <c r="AL125" t="s">
        <v>59</v>
      </c>
      <c r="AM125" t="s">
        <v>60</v>
      </c>
      <c r="AN125" t="s">
        <v>61</v>
      </c>
      <c r="AO125" t="s">
        <v>62</v>
      </c>
      <c r="AQ125" t="str">
        <f t="shared" si="3"/>
        <v>146bis Rue Henri Bocquet, Bouchain, , 59111, France</v>
      </c>
      <c r="AR125" t="str">
        <f t="shared" si="4"/>
        <v>French Client</v>
      </c>
      <c r="AS125" t="s">
        <v>285</v>
      </c>
      <c r="AT125">
        <v>22932</v>
      </c>
      <c r="AU125" t="str">
        <f t="shared" si="5"/>
        <v>Medium Client</v>
      </c>
    </row>
    <row r="126" spans="1:47" x14ac:dyDescent="0.25">
      <c r="A126" t="s">
        <v>774</v>
      </c>
      <c r="B126" t="s">
        <v>775</v>
      </c>
      <c r="C126" t="s">
        <v>64</v>
      </c>
      <c r="D126" t="s">
        <v>776</v>
      </c>
      <c r="E126" t="s">
        <v>777</v>
      </c>
      <c r="F126">
        <v>2</v>
      </c>
      <c r="G126" t="s">
        <v>46</v>
      </c>
      <c r="H126" t="s">
        <v>47</v>
      </c>
      <c r="I126" s="1">
        <v>44746</v>
      </c>
      <c r="J126" s="1">
        <v>44728</v>
      </c>
      <c r="K126" t="s">
        <v>47</v>
      </c>
      <c r="L126" t="s">
        <v>48</v>
      </c>
      <c r="M126" t="s">
        <v>47</v>
      </c>
      <c r="N126" s="1">
        <v>44727</v>
      </c>
      <c r="O126" s="1">
        <v>44727</v>
      </c>
      <c r="P126" t="s">
        <v>46</v>
      </c>
      <c r="Q126" s="1">
        <v>44734</v>
      </c>
      <c r="R126" t="s">
        <v>47</v>
      </c>
      <c r="S126" s="1">
        <v>45092</v>
      </c>
      <c r="V126" s="1">
        <v>44727</v>
      </c>
      <c r="W126" t="s">
        <v>563</v>
      </c>
      <c r="X126" s="1">
        <v>44783</v>
      </c>
      <c r="Y126" t="s">
        <v>51</v>
      </c>
      <c r="Z126" s="1">
        <v>46007</v>
      </c>
      <c r="AA126" t="s">
        <v>117</v>
      </c>
      <c r="AB126" t="s">
        <v>52</v>
      </c>
      <c r="AC126" s="2">
        <v>0</v>
      </c>
      <c r="AD126" t="s">
        <v>488</v>
      </c>
      <c r="AE126" t="s">
        <v>778</v>
      </c>
      <c r="AG126" t="s">
        <v>779</v>
      </c>
      <c r="AI126">
        <v>31800</v>
      </c>
      <c r="AJ126" t="s">
        <v>87</v>
      </c>
      <c r="AK126" t="s">
        <v>88</v>
      </c>
      <c r="AL126" t="s">
        <v>59</v>
      </c>
      <c r="AM126" t="s">
        <v>60</v>
      </c>
      <c r="AN126" t="s">
        <v>61</v>
      </c>
      <c r="AO126" t="s">
        <v>62</v>
      </c>
      <c r="AQ126" t="str">
        <f t="shared" si="3"/>
        <v>8 rue du mÃ©decin gÃ©nÃ©ral boyer pavillon 13 , Saint-Gaudens , , 31800, France</v>
      </c>
      <c r="AR126" t="str">
        <f t="shared" si="4"/>
        <v>French Client</v>
      </c>
      <c r="AS126" t="s">
        <v>64</v>
      </c>
      <c r="AT126">
        <v>40818</v>
      </c>
      <c r="AU126" t="str">
        <f t="shared" si="5"/>
        <v>Medium Client</v>
      </c>
    </row>
    <row r="127" spans="1:47" x14ac:dyDescent="0.25">
      <c r="B127" t="s">
        <v>780</v>
      </c>
      <c r="C127" t="s">
        <v>112</v>
      </c>
      <c r="D127" t="s">
        <v>781</v>
      </c>
      <c r="E127" t="s">
        <v>782</v>
      </c>
      <c r="F127">
        <v>1</v>
      </c>
      <c r="G127" t="s">
        <v>46</v>
      </c>
      <c r="H127" t="s">
        <v>47</v>
      </c>
      <c r="I127" s="1">
        <v>44768</v>
      </c>
      <c r="J127" s="1">
        <v>44768</v>
      </c>
      <c r="K127" t="s">
        <v>47</v>
      </c>
      <c r="L127" t="s">
        <v>48</v>
      </c>
      <c r="M127" t="s">
        <v>47</v>
      </c>
      <c r="N127" s="1">
        <v>44369</v>
      </c>
      <c r="O127" s="1">
        <v>44768</v>
      </c>
      <c r="P127" t="s">
        <v>46</v>
      </c>
      <c r="Q127" t="s">
        <v>47</v>
      </c>
      <c r="R127" t="s">
        <v>47</v>
      </c>
      <c r="S127" t="s">
        <v>47</v>
      </c>
      <c r="T127" t="s">
        <v>67</v>
      </c>
      <c r="V127" t="s">
        <v>47</v>
      </c>
      <c r="W127" t="s">
        <v>50</v>
      </c>
      <c r="X127" s="1">
        <v>44805</v>
      </c>
      <c r="Y127" t="s">
        <v>51</v>
      </c>
      <c r="Z127" s="1">
        <v>45678</v>
      </c>
      <c r="AA127" t="s">
        <v>50</v>
      </c>
      <c r="AB127" t="s">
        <v>52</v>
      </c>
      <c r="AC127" s="2">
        <v>0.15</v>
      </c>
      <c r="AD127" t="s">
        <v>53</v>
      </c>
      <c r="AE127" t="s">
        <v>783</v>
      </c>
      <c r="AG127" t="s">
        <v>784</v>
      </c>
      <c r="AI127">
        <v>30480</v>
      </c>
      <c r="AJ127" t="s">
        <v>87</v>
      </c>
      <c r="AK127" t="s">
        <v>88</v>
      </c>
      <c r="AL127" t="s">
        <v>137</v>
      </c>
      <c r="AM127" t="s">
        <v>60</v>
      </c>
      <c r="AN127" t="s">
        <v>61</v>
      </c>
      <c r="AO127" t="s">
        <v>62</v>
      </c>
      <c r="AQ127" t="str">
        <f t="shared" si="3"/>
        <v>29 impasse du clocher, Cendras, , 30480, France</v>
      </c>
      <c r="AR127" t="str">
        <f t="shared" si="4"/>
        <v>French Client</v>
      </c>
      <c r="AS127" t="s">
        <v>112</v>
      </c>
      <c r="AT127">
        <v>43146</v>
      </c>
      <c r="AU127" t="str">
        <f t="shared" si="5"/>
        <v>Medium Client</v>
      </c>
    </row>
    <row r="128" spans="1:47" x14ac:dyDescent="0.25">
      <c r="B128" t="s">
        <v>785</v>
      </c>
      <c r="C128" t="s">
        <v>112</v>
      </c>
      <c r="D128" t="s">
        <v>786</v>
      </c>
      <c r="E128" t="s">
        <v>787</v>
      </c>
      <c r="F128">
        <v>2</v>
      </c>
      <c r="G128" t="s">
        <v>46</v>
      </c>
      <c r="H128" s="1">
        <v>45897</v>
      </c>
      <c r="I128" s="1">
        <v>45897</v>
      </c>
      <c r="J128" s="1">
        <v>45703</v>
      </c>
      <c r="K128" s="1">
        <v>45709</v>
      </c>
      <c r="L128" t="s">
        <v>48</v>
      </c>
      <c r="M128" t="s">
        <v>47</v>
      </c>
      <c r="N128" s="1">
        <v>45609</v>
      </c>
      <c r="O128" s="1">
        <v>45703</v>
      </c>
      <c r="P128" t="s">
        <v>46</v>
      </c>
      <c r="Q128" t="s">
        <v>47</v>
      </c>
      <c r="R128" t="s">
        <v>47</v>
      </c>
      <c r="S128" t="s">
        <v>47</v>
      </c>
      <c r="T128" t="s">
        <v>67</v>
      </c>
      <c r="V128" t="s">
        <v>47</v>
      </c>
      <c r="W128" t="s">
        <v>50</v>
      </c>
      <c r="X128" s="1">
        <v>45904</v>
      </c>
      <c r="Y128" t="s">
        <v>51</v>
      </c>
      <c r="Z128" s="1">
        <v>46007</v>
      </c>
      <c r="AA128" t="s">
        <v>50</v>
      </c>
      <c r="AB128" t="s">
        <v>52</v>
      </c>
      <c r="AC128" s="2">
        <v>0.15</v>
      </c>
      <c r="AD128" t="s">
        <v>53</v>
      </c>
      <c r="AE128" t="s">
        <v>788</v>
      </c>
      <c r="AG128" t="s">
        <v>789</v>
      </c>
      <c r="AI128">
        <v>46090</v>
      </c>
      <c r="AJ128" t="s">
        <v>87</v>
      </c>
      <c r="AK128" t="s">
        <v>88</v>
      </c>
      <c r="AL128" t="s">
        <v>59</v>
      </c>
      <c r="AM128" t="s">
        <v>60</v>
      </c>
      <c r="AN128" t="s">
        <v>61</v>
      </c>
      <c r="AO128" t="s">
        <v>62</v>
      </c>
      <c r="AQ128" t="str">
        <f t="shared" si="3"/>
        <v>705 Les Ramades, Flaujac-Poujols, , 46090, France</v>
      </c>
      <c r="AR128" t="str">
        <f t="shared" si="4"/>
        <v>French Client</v>
      </c>
      <c r="AS128" t="s">
        <v>112</v>
      </c>
      <c r="AT128">
        <v>33120</v>
      </c>
      <c r="AU128" t="str">
        <f t="shared" si="5"/>
        <v>Medium Client</v>
      </c>
    </row>
    <row r="129" spans="1:47" x14ac:dyDescent="0.25">
      <c r="B129" t="s">
        <v>790</v>
      </c>
      <c r="C129" t="s">
        <v>198</v>
      </c>
      <c r="D129" t="s">
        <v>791</v>
      </c>
      <c r="E129" t="s">
        <v>46</v>
      </c>
      <c r="F129">
        <v>0</v>
      </c>
      <c r="G129" t="s">
        <v>46</v>
      </c>
      <c r="H129" s="1">
        <v>45993</v>
      </c>
      <c r="I129" t="s">
        <v>47</v>
      </c>
      <c r="J129" t="s">
        <v>47</v>
      </c>
      <c r="K129" t="s">
        <v>47</v>
      </c>
      <c r="L129" t="s">
        <v>48</v>
      </c>
      <c r="M129" t="s">
        <v>47</v>
      </c>
      <c r="N129" s="1">
        <v>45678</v>
      </c>
      <c r="O129" s="1">
        <v>45780</v>
      </c>
      <c r="P129" t="s">
        <v>49</v>
      </c>
      <c r="Q129" t="s">
        <v>47</v>
      </c>
      <c r="R129" t="s">
        <v>47</v>
      </c>
      <c r="S129" t="s">
        <v>47</v>
      </c>
      <c r="V129" t="s">
        <v>47</v>
      </c>
      <c r="W129" t="s">
        <v>50</v>
      </c>
      <c r="X129" t="s">
        <v>47</v>
      </c>
      <c r="Y129" t="s">
        <v>51</v>
      </c>
      <c r="Z129" s="1">
        <v>46007</v>
      </c>
      <c r="AA129" t="s">
        <v>50</v>
      </c>
      <c r="AB129" t="s">
        <v>534</v>
      </c>
      <c r="AC129" s="2">
        <v>0.15</v>
      </c>
      <c r="AD129" t="s">
        <v>53</v>
      </c>
      <c r="AE129" t="s">
        <v>792</v>
      </c>
      <c r="AF129">
        <v>103</v>
      </c>
      <c r="AG129" t="s">
        <v>793</v>
      </c>
      <c r="AH129" t="s">
        <v>794</v>
      </c>
      <c r="AI129">
        <v>23462</v>
      </c>
      <c r="AJ129" t="s">
        <v>57</v>
      </c>
      <c r="AK129" t="s">
        <v>58</v>
      </c>
      <c r="AL129" t="s">
        <v>59</v>
      </c>
      <c r="AN129" t="s">
        <v>73</v>
      </c>
      <c r="AO129" t="s">
        <v>62</v>
      </c>
      <c r="AQ129" t="str">
        <f t="shared" ref="AQ129:AQ191" si="6">AE129&amp;", "&amp;AG129&amp;", "&amp;AH129&amp;", "&amp;AI129&amp;", "&amp;AJ129</f>
        <v>4540 Princess Anne Road, Virginia Beach, VA, 23462, Ã‰tats-Unis</v>
      </c>
      <c r="AR129" t="str">
        <f t="shared" ref="AR129:AR191" si="7">IF(UPPER(AJ129)="FRANCE","French Client","International Client")</f>
        <v>International Client</v>
      </c>
      <c r="AS129" t="s">
        <v>198</v>
      </c>
      <c r="AT129">
        <v>0</v>
      </c>
      <c r="AU129" t="str">
        <f t="shared" ref="AU129:AU191" si="8">IF(AT129=0,"Low Client",IF(AT129&lt;=50000,"Medium Client","High Client"))</f>
        <v>Low Client</v>
      </c>
    </row>
    <row r="130" spans="1:47" x14ac:dyDescent="0.25">
      <c r="B130" t="s">
        <v>795</v>
      </c>
      <c r="C130" t="s">
        <v>43</v>
      </c>
      <c r="D130" t="s">
        <v>796</v>
      </c>
      <c r="E130" t="s">
        <v>797</v>
      </c>
      <c r="F130">
        <v>1</v>
      </c>
      <c r="G130" t="s">
        <v>49</v>
      </c>
      <c r="H130" t="s">
        <v>47</v>
      </c>
      <c r="I130" s="1">
        <v>45708</v>
      </c>
      <c r="J130" s="1">
        <v>45708</v>
      </c>
      <c r="K130" t="s">
        <v>47</v>
      </c>
      <c r="L130" t="s">
        <v>48</v>
      </c>
      <c r="M130" t="s">
        <v>47</v>
      </c>
      <c r="N130" s="1">
        <v>43957</v>
      </c>
      <c r="O130" s="1">
        <v>45708</v>
      </c>
      <c r="P130" t="s">
        <v>49</v>
      </c>
      <c r="Q130" t="s">
        <v>47</v>
      </c>
      <c r="R130" t="s">
        <v>47</v>
      </c>
      <c r="S130" t="s">
        <v>47</v>
      </c>
      <c r="V130" t="s">
        <v>47</v>
      </c>
      <c r="W130" t="s">
        <v>50</v>
      </c>
      <c r="X130" s="1">
        <v>45714</v>
      </c>
      <c r="Y130" t="s">
        <v>51</v>
      </c>
      <c r="Z130" s="1">
        <v>46007</v>
      </c>
      <c r="AA130" t="s">
        <v>50</v>
      </c>
      <c r="AB130" t="s">
        <v>52</v>
      </c>
      <c r="AC130" s="2">
        <v>0.15</v>
      </c>
      <c r="AD130" t="s">
        <v>53</v>
      </c>
      <c r="AE130" t="s">
        <v>798</v>
      </c>
      <c r="AF130" t="s">
        <v>799</v>
      </c>
      <c r="AG130" t="s">
        <v>800</v>
      </c>
      <c r="AH130" t="s">
        <v>801</v>
      </c>
      <c r="AI130">
        <v>66211</v>
      </c>
      <c r="AJ130" t="s">
        <v>57</v>
      </c>
      <c r="AK130" t="s">
        <v>58</v>
      </c>
      <c r="AL130" t="s">
        <v>59</v>
      </c>
      <c r="AM130" t="s">
        <v>60</v>
      </c>
      <c r="AN130" t="s">
        <v>61</v>
      </c>
      <c r="AO130" t="s">
        <v>62</v>
      </c>
      <c r="AQ130" t="str">
        <f t="shared" si="6"/>
        <v>6500 West 110th Street, Overland Park, KS, 66211, Ã‰tats-Unis</v>
      </c>
      <c r="AR130" t="str">
        <f t="shared" si="7"/>
        <v>International Client</v>
      </c>
      <c r="AS130" t="s">
        <v>43</v>
      </c>
      <c r="AT130">
        <v>15540</v>
      </c>
      <c r="AU130" t="str">
        <f t="shared" si="8"/>
        <v>Medium Client</v>
      </c>
    </row>
    <row r="131" spans="1:47" x14ac:dyDescent="0.25">
      <c r="B131" t="s">
        <v>802</v>
      </c>
      <c r="C131" t="s">
        <v>112</v>
      </c>
      <c r="D131" t="s">
        <v>803</v>
      </c>
      <c r="E131" t="s">
        <v>479</v>
      </c>
      <c r="F131">
        <v>1</v>
      </c>
      <c r="G131" t="s">
        <v>49</v>
      </c>
      <c r="H131" t="s">
        <v>47</v>
      </c>
      <c r="I131" s="1">
        <v>45972</v>
      </c>
      <c r="J131" s="1">
        <v>45972</v>
      </c>
      <c r="K131" s="1">
        <v>45979</v>
      </c>
      <c r="L131" t="s">
        <v>48</v>
      </c>
      <c r="M131" t="s">
        <v>47</v>
      </c>
      <c r="N131" s="1">
        <v>45971</v>
      </c>
      <c r="O131" s="1">
        <v>45972</v>
      </c>
      <c r="P131" t="s">
        <v>46</v>
      </c>
      <c r="Q131" t="s">
        <v>47</v>
      </c>
      <c r="R131" t="s">
        <v>47</v>
      </c>
      <c r="S131" t="s">
        <v>47</v>
      </c>
      <c r="V131" t="s">
        <v>47</v>
      </c>
      <c r="W131" t="s">
        <v>50</v>
      </c>
      <c r="X131" s="1">
        <v>45979</v>
      </c>
      <c r="Y131" t="s">
        <v>51</v>
      </c>
      <c r="Z131" s="1">
        <v>46007</v>
      </c>
      <c r="AA131" t="s">
        <v>50</v>
      </c>
      <c r="AB131" t="s">
        <v>52</v>
      </c>
      <c r="AC131" s="2">
        <v>0.15</v>
      </c>
      <c r="AD131" t="s">
        <v>53</v>
      </c>
      <c r="AE131" t="s">
        <v>804</v>
      </c>
      <c r="AG131" t="s">
        <v>805</v>
      </c>
      <c r="AI131">
        <v>80053</v>
      </c>
      <c r="AJ131" t="s">
        <v>96</v>
      </c>
      <c r="AK131" t="s">
        <v>97</v>
      </c>
      <c r="AL131" t="s">
        <v>137</v>
      </c>
      <c r="AM131" t="s">
        <v>60</v>
      </c>
      <c r="AN131" t="s">
        <v>61</v>
      </c>
      <c r="AO131" t="s">
        <v>62</v>
      </c>
      <c r="AQ131" t="str">
        <f t="shared" si="6"/>
        <v>10 Via Giuseppe Cosenza, Castellammare di Stabia, , 80053, Italie</v>
      </c>
      <c r="AR131" t="str">
        <f t="shared" si="7"/>
        <v>International Client</v>
      </c>
      <c r="AS131" t="s">
        <v>112</v>
      </c>
      <c r="AT131">
        <v>15552</v>
      </c>
      <c r="AU131" t="str">
        <f t="shared" si="8"/>
        <v>Medium Client</v>
      </c>
    </row>
    <row r="132" spans="1:47" x14ac:dyDescent="0.25">
      <c r="B132" t="s">
        <v>806</v>
      </c>
      <c r="C132" t="s">
        <v>75</v>
      </c>
      <c r="D132" t="s">
        <v>807</v>
      </c>
      <c r="E132" t="s">
        <v>808</v>
      </c>
      <c r="F132">
        <v>1</v>
      </c>
      <c r="G132" t="s">
        <v>809</v>
      </c>
      <c r="H132" s="1">
        <v>45958</v>
      </c>
      <c r="I132" s="1">
        <v>44898</v>
      </c>
      <c r="J132" s="1">
        <v>44898</v>
      </c>
      <c r="K132" t="s">
        <v>47</v>
      </c>
      <c r="L132" t="s">
        <v>48</v>
      </c>
      <c r="M132" s="1">
        <v>45197</v>
      </c>
      <c r="N132" s="1">
        <v>44358</v>
      </c>
      <c r="O132" s="1">
        <v>44898</v>
      </c>
      <c r="P132" t="s">
        <v>46</v>
      </c>
      <c r="Q132" t="s">
        <v>47</v>
      </c>
      <c r="R132" t="s">
        <v>47</v>
      </c>
      <c r="S132" t="s">
        <v>47</v>
      </c>
      <c r="T132" t="s">
        <v>67</v>
      </c>
      <c r="U132" t="s">
        <v>480</v>
      </c>
      <c r="V132" t="s">
        <v>47</v>
      </c>
      <c r="W132" t="s">
        <v>50</v>
      </c>
      <c r="X132" s="1">
        <v>44933</v>
      </c>
      <c r="Y132" t="s">
        <v>51</v>
      </c>
      <c r="Z132" s="1">
        <v>46007</v>
      </c>
      <c r="AA132" t="s">
        <v>50</v>
      </c>
      <c r="AB132" t="s">
        <v>52</v>
      </c>
      <c r="AC132" s="2">
        <v>0.15</v>
      </c>
      <c r="AD132" t="s">
        <v>53</v>
      </c>
      <c r="AE132" t="s">
        <v>810</v>
      </c>
      <c r="AG132" t="s">
        <v>811</v>
      </c>
      <c r="AI132">
        <v>28040</v>
      </c>
      <c r="AJ132" t="s">
        <v>96</v>
      </c>
      <c r="AK132" t="s">
        <v>97</v>
      </c>
      <c r="AL132" t="s">
        <v>59</v>
      </c>
      <c r="AM132" t="s">
        <v>60</v>
      </c>
      <c r="AN132" t="s">
        <v>61</v>
      </c>
      <c r="AO132" t="s">
        <v>62</v>
      </c>
      <c r="AQ132" t="str">
        <f t="shared" si="6"/>
        <v>74 Via Vittorio Emanuele II, Borgo Ticino, , 28040, Italie</v>
      </c>
      <c r="AR132" t="str">
        <f t="shared" si="7"/>
        <v>International Client</v>
      </c>
      <c r="AS132" t="s">
        <v>75</v>
      </c>
      <c r="AT132">
        <v>28710</v>
      </c>
      <c r="AU132" t="str">
        <f t="shared" si="8"/>
        <v>Medium Client</v>
      </c>
    </row>
    <row r="133" spans="1:47" x14ac:dyDescent="0.25">
      <c r="B133" t="s">
        <v>812</v>
      </c>
      <c r="C133" t="s">
        <v>112</v>
      </c>
      <c r="D133" t="s">
        <v>813</v>
      </c>
      <c r="E133" t="s">
        <v>814</v>
      </c>
      <c r="F133">
        <v>1</v>
      </c>
      <c r="G133" t="s">
        <v>49</v>
      </c>
      <c r="H133" t="s">
        <v>47</v>
      </c>
      <c r="I133" s="1">
        <v>45962</v>
      </c>
      <c r="J133" s="1">
        <v>45962</v>
      </c>
      <c r="K133" s="1">
        <v>45967</v>
      </c>
      <c r="L133" t="s">
        <v>48</v>
      </c>
      <c r="M133" t="s">
        <v>47</v>
      </c>
      <c r="N133" s="1">
        <v>45962</v>
      </c>
      <c r="O133" s="1">
        <v>45962</v>
      </c>
      <c r="P133" t="s">
        <v>46</v>
      </c>
      <c r="Q133" t="s">
        <v>47</v>
      </c>
      <c r="R133" t="s">
        <v>47</v>
      </c>
      <c r="S133" t="s">
        <v>47</v>
      </c>
      <c r="V133" t="s">
        <v>47</v>
      </c>
      <c r="W133" t="s">
        <v>50</v>
      </c>
      <c r="X133" s="1">
        <v>45967</v>
      </c>
      <c r="Y133" t="s">
        <v>51</v>
      </c>
      <c r="Z133" s="1">
        <v>46007</v>
      </c>
      <c r="AA133" t="s">
        <v>50</v>
      </c>
      <c r="AB133" t="s">
        <v>52</v>
      </c>
      <c r="AC133" s="2">
        <v>0.15</v>
      </c>
      <c r="AD133" t="s">
        <v>53</v>
      </c>
      <c r="AE133" t="s">
        <v>815</v>
      </c>
      <c r="AG133" t="s">
        <v>598</v>
      </c>
      <c r="AI133">
        <v>6300</v>
      </c>
      <c r="AJ133" t="s">
        <v>87</v>
      </c>
      <c r="AK133" t="s">
        <v>88</v>
      </c>
      <c r="AL133" t="s">
        <v>137</v>
      </c>
      <c r="AM133" t="s">
        <v>60</v>
      </c>
      <c r="AN133" t="s">
        <v>61</v>
      </c>
      <c r="AO133" t="s">
        <v>62</v>
      </c>
      <c r="AQ133" t="str">
        <f t="shared" si="6"/>
        <v>90 Corniche AndrÃ© de Joly, Nice, , 6300, France</v>
      </c>
      <c r="AR133" t="str">
        <f t="shared" si="7"/>
        <v>French Client</v>
      </c>
      <c r="AS133" t="s">
        <v>112</v>
      </c>
      <c r="AT133">
        <v>15984</v>
      </c>
      <c r="AU133" t="str">
        <f t="shared" si="8"/>
        <v>Medium Client</v>
      </c>
    </row>
    <row r="134" spans="1:47" x14ac:dyDescent="0.25">
      <c r="B134" t="s">
        <v>816</v>
      </c>
      <c r="C134" t="s">
        <v>112</v>
      </c>
      <c r="D134" t="s">
        <v>817</v>
      </c>
      <c r="E134" t="s">
        <v>818</v>
      </c>
      <c r="F134">
        <v>2</v>
      </c>
      <c r="G134" t="s">
        <v>49</v>
      </c>
      <c r="H134" t="s">
        <v>47</v>
      </c>
      <c r="I134" s="1">
        <v>45757</v>
      </c>
      <c r="J134" s="1">
        <v>45748</v>
      </c>
      <c r="K134" t="s">
        <v>47</v>
      </c>
      <c r="L134" t="s">
        <v>48</v>
      </c>
      <c r="M134" t="s">
        <v>47</v>
      </c>
      <c r="N134" s="1">
        <v>44764</v>
      </c>
      <c r="O134" s="1">
        <v>45748</v>
      </c>
      <c r="P134" t="s">
        <v>46</v>
      </c>
      <c r="Q134" t="s">
        <v>47</v>
      </c>
      <c r="R134" t="s">
        <v>47</v>
      </c>
      <c r="S134" t="s">
        <v>47</v>
      </c>
      <c r="V134" t="s">
        <v>47</v>
      </c>
      <c r="W134" t="s">
        <v>50</v>
      </c>
      <c r="X134" s="1">
        <v>45765</v>
      </c>
      <c r="Y134" t="s">
        <v>51</v>
      </c>
      <c r="Z134" s="1">
        <v>46007</v>
      </c>
      <c r="AA134" t="s">
        <v>50</v>
      </c>
      <c r="AB134" t="s">
        <v>52</v>
      </c>
      <c r="AC134" s="2">
        <v>0.15</v>
      </c>
      <c r="AD134" t="s">
        <v>53</v>
      </c>
      <c r="AE134" t="s">
        <v>819</v>
      </c>
      <c r="AG134" t="s">
        <v>820</v>
      </c>
      <c r="AI134">
        <v>85000</v>
      </c>
      <c r="AJ134" t="s">
        <v>87</v>
      </c>
      <c r="AK134" t="s">
        <v>88</v>
      </c>
      <c r="AL134" t="s">
        <v>59</v>
      </c>
      <c r="AM134" t="s">
        <v>60</v>
      </c>
      <c r="AN134" t="s">
        <v>61</v>
      </c>
      <c r="AO134" t="s">
        <v>62</v>
      </c>
      <c r="AQ134" t="str">
        <f t="shared" si="6"/>
        <v>10 Rue Paul Baudry, La Roche-sur-Yon, , 85000, France</v>
      </c>
      <c r="AR134" t="str">
        <f t="shared" si="7"/>
        <v>French Client</v>
      </c>
      <c r="AS134" t="s">
        <v>112</v>
      </c>
      <c r="AT134">
        <v>22344</v>
      </c>
      <c r="AU134" t="str">
        <f t="shared" si="8"/>
        <v>Medium Client</v>
      </c>
    </row>
    <row r="135" spans="1:47" x14ac:dyDescent="0.25">
      <c r="A135" t="s">
        <v>821</v>
      </c>
      <c r="B135" t="s">
        <v>822</v>
      </c>
      <c r="C135" t="s">
        <v>64</v>
      </c>
      <c r="D135" t="s">
        <v>823</v>
      </c>
      <c r="E135" t="s">
        <v>824</v>
      </c>
      <c r="F135">
        <v>2</v>
      </c>
      <c r="G135" t="s">
        <v>46</v>
      </c>
      <c r="H135" s="1">
        <v>46000</v>
      </c>
      <c r="I135" s="1">
        <v>46000</v>
      </c>
      <c r="J135" s="1">
        <v>45686</v>
      </c>
      <c r="K135" s="1">
        <v>45695</v>
      </c>
      <c r="L135" t="s">
        <v>48</v>
      </c>
      <c r="M135" s="1">
        <v>46000</v>
      </c>
      <c r="N135" s="1">
        <v>45183</v>
      </c>
      <c r="O135" s="1">
        <v>45685</v>
      </c>
      <c r="P135" t="s">
        <v>46</v>
      </c>
      <c r="Q135" s="1">
        <v>45686</v>
      </c>
      <c r="R135" t="s">
        <v>47</v>
      </c>
      <c r="S135" s="1">
        <v>46050</v>
      </c>
      <c r="T135" t="s">
        <v>487</v>
      </c>
      <c r="V135" t="s">
        <v>47</v>
      </c>
      <c r="W135" t="s">
        <v>116</v>
      </c>
      <c r="X135" s="1">
        <v>45695</v>
      </c>
      <c r="Y135" t="s">
        <v>51</v>
      </c>
      <c r="Z135" s="1">
        <v>46007</v>
      </c>
      <c r="AA135" t="s">
        <v>117</v>
      </c>
      <c r="AB135" t="s">
        <v>52</v>
      </c>
      <c r="AC135" s="2">
        <v>0</v>
      </c>
      <c r="AD135" t="s">
        <v>53</v>
      </c>
      <c r="AE135" t="s">
        <v>825</v>
      </c>
      <c r="AG135" t="s">
        <v>826</v>
      </c>
      <c r="AI135">
        <v>86370</v>
      </c>
      <c r="AJ135" t="s">
        <v>87</v>
      </c>
      <c r="AK135" t="s">
        <v>88</v>
      </c>
      <c r="AL135" t="s">
        <v>59</v>
      </c>
      <c r="AM135" t="s">
        <v>60</v>
      </c>
      <c r="AN135" t="s">
        <v>61</v>
      </c>
      <c r="AO135" t="s">
        <v>62</v>
      </c>
      <c r="AQ135" t="str">
        <f t="shared" si="6"/>
        <v>6 Rue du Champ de la Vigne, Vivonne, , 86370, France</v>
      </c>
      <c r="AR135" t="str">
        <f t="shared" si="7"/>
        <v>French Client</v>
      </c>
      <c r="AS135" t="s">
        <v>64</v>
      </c>
      <c r="AT135">
        <v>26658</v>
      </c>
      <c r="AU135" t="str">
        <f t="shared" si="8"/>
        <v>Medium Client</v>
      </c>
    </row>
    <row r="136" spans="1:47" x14ac:dyDescent="0.25">
      <c r="B136" t="s">
        <v>827</v>
      </c>
      <c r="C136" t="s">
        <v>64</v>
      </c>
      <c r="D136" t="s">
        <v>828</v>
      </c>
      <c r="E136" t="s">
        <v>829</v>
      </c>
      <c r="F136">
        <v>1</v>
      </c>
      <c r="G136" t="s">
        <v>46</v>
      </c>
      <c r="H136" s="1">
        <v>45368</v>
      </c>
      <c r="I136" s="1">
        <v>45252</v>
      </c>
      <c r="J136" s="1">
        <v>45252</v>
      </c>
      <c r="K136" t="s">
        <v>47</v>
      </c>
      <c r="L136" t="s">
        <v>48</v>
      </c>
      <c r="M136" t="s">
        <v>47</v>
      </c>
      <c r="N136" s="1">
        <v>44792</v>
      </c>
      <c r="O136" s="1">
        <v>45252</v>
      </c>
      <c r="P136" t="s">
        <v>46</v>
      </c>
      <c r="Q136" t="s">
        <v>47</v>
      </c>
      <c r="R136" t="s">
        <v>47</v>
      </c>
      <c r="S136" t="s">
        <v>47</v>
      </c>
      <c r="V136" t="s">
        <v>47</v>
      </c>
      <c r="W136" t="s">
        <v>50</v>
      </c>
      <c r="X136" s="1">
        <v>45279</v>
      </c>
      <c r="Y136" t="s">
        <v>51</v>
      </c>
      <c r="Z136" s="1">
        <v>46007</v>
      </c>
      <c r="AA136" t="s">
        <v>50</v>
      </c>
      <c r="AB136" t="s">
        <v>52</v>
      </c>
      <c r="AC136" s="2">
        <v>0.15</v>
      </c>
      <c r="AD136" t="s">
        <v>53</v>
      </c>
      <c r="AE136" t="s">
        <v>830</v>
      </c>
      <c r="AG136" t="s">
        <v>831</v>
      </c>
      <c r="AI136">
        <v>85480</v>
      </c>
      <c r="AJ136" t="s">
        <v>87</v>
      </c>
      <c r="AK136" t="s">
        <v>88</v>
      </c>
      <c r="AL136" t="s">
        <v>59</v>
      </c>
      <c r="AM136" t="s">
        <v>60</v>
      </c>
      <c r="AN136" t="s">
        <v>61</v>
      </c>
      <c r="AO136" t="s">
        <v>62</v>
      </c>
      <c r="AQ136" t="str">
        <f t="shared" si="6"/>
        <v>30 Rue du Pont du FrÃªne, Thorigny, , 85480, France</v>
      </c>
      <c r="AR136" t="str">
        <f t="shared" si="7"/>
        <v>French Client</v>
      </c>
      <c r="AS136" t="s">
        <v>64</v>
      </c>
      <c r="AT136">
        <v>26964</v>
      </c>
      <c r="AU136" t="str">
        <f t="shared" si="8"/>
        <v>Medium Client</v>
      </c>
    </row>
    <row r="137" spans="1:47" x14ac:dyDescent="0.25">
      <c r="A137" t="s">
        <v>832</v>
      </c>
      <c r="B137" t="s">
        <v>833</v>
      </c>
      <c r="C137" t="s">
        <v>64</v>
      </c>
      <c r="D137" t="s">
        <v>834</v>
      </c>
      <c r="E137" t="s">
        <v>835</v>
      </c>
      <c r="F137">
        <v>1</v>
      </c>
      <c r="G137" t="s">
        <v>46</v>
      </c>
      <c r="H137" s="1">
        <v>45924</v>
      </c>
      <c r="I137" s="1">
        <v>45924</v>
      </c>
      <c r="J137" s="1">
        <v>45924</v>
      </c>
      <c r="K137" s="1">
        <v>45931</v>
      </c>
      <c r="L137" t="s">
        <v>48</v>
      </c>
      <c r="M137" t="s">
        <v>47</v>
      </c>
      <c r="N137" s="1">
        <v>45812</v>
      </c>
      <c r="O137" s="1">
        <v>45924</v>
      </c>
      <c r="P137" t="s">
        <v>46</v>
      </c>
      <c r="Q137" s="1">
        <v>45931</v>
      </c>
      <c r="R137" t="s">
        <v>47</v>
      </c>
      <c r="S137" s="1">
        <v>46289</v>
      </c>
      <c r="T137" t="s">
        <v>487</v>
      </c>
      <c r="V137" t="s">
        <v>47</v>
      </c>
      <c r="W137" t="s">
        <v>116</v>
      </c>
      <c r="X137" s="1">
        <v>45931</v>
      </c>
      <c r="Y137" t="s">
        <v>51</v>
      </c>
      <c r="Z137" s="1">
        <v>46007</v>
      </c>
      <c r="AA137" t="s">
        <v>117</v>
      </c>
      <c r="AB137" t="s">
        <v>52</v>
      </c>
      <c r="AC137" s="2">
        <v>0</v>
      </c>
      <c r="AD137" t="s">
        <v>488</v>
      </c>
      <c r="AE137" t="s">
        <v>836</v>
      </c>
      <c r="AG137" t="s">
        <v>837</v>
      </c>
      <c r="AI137">
        <v>11260</v>
      </c>
      <c r="AJ137" t="s">
        <v>87</v>
      </c>
      <c r="AK137" t="s">
        <v>88</v>
      </c>
      <c r="AL137" t="s">
        <v>59</v>
      </c>
      <c r="AM137" t="s">
        <v>60</v>
      </c>
      <c r="AN137" t="s">
        <v>61</v>
      </c>
      <c r="AO137" t="s">
        <v>62</v>
      </c>
      <c r="AQ137" t="str">
        <f t="shared" si="6"/>
        <v>21 Avenue d'Esperaza, Campagne-sur-Aude, , 11260, France</v>
      </c>
      <c r="AR137" t="str">
        <f t="shared" si="7"/>
        <v>French Client</v>
      </c>
      <c r="AS137" t="s">
        <v>64</v>
      </c>
      <c r="AT137">
        <v>17886</v>
      </c>
      <c r="AU137" t="str">
        <f t="shared" si="8"/>
        <v>Medium Client</v>
      </c>
    </row>
    <row r="138" spans="1:47" x14ac:dyDescent="0.25">
      <c r="B138" t="s">
        <v>838</v>
      </c>
      <c r="C138" t="s">
        <v>64</v>
      </c>
      <c r="D138" t="s">
        <v>839</v>
      </c>
      <c r="E138" t="s">
        <v>840</v>
      </c>
      <c r="F138">
        <v>1</v>
      </c>
      <c r="G138" t="s">
        <v>49</v>
      </c>
      <c r="H138" t="s">
        <v>47</v>
      </c>
      <c r="I138" s="1">
        <v>45953</v>
      </c>
      <c r="J138" s="1">
        <v>45953</v>
      </c>
      <c r="K138" s="1">
        <v>45960</v>
      </c>
      <c r="L138" t="s">
        <v>48</v>
      </c>
      <c r="M138" t="s">
        <v>47</v>
      </c>
      <c r="N138" s="1">
        <v>44474</v>
      </c>
      <c r="O138" s="1">
        <v>45953</v>
      </c>
      <c r="P138" t="s">
        <v>46</v>
      </c>
      <c r="Q138" t="s">
        <v>47</v>
      </c>
      <c r="R138" t="s">
        <v>47</v>
      </c>
      <c r="S138" t="s">
        <v>47</v>
      </c>
      <c r="T138" t="s">
        <v>67</v>
      </c>
      <c r="U138" t="s">
        <v>93</v>
      </c>
      <c r="V138" t="s">
        <v>47</v>
      </c>
      <c r="W138" t="s">
        <v>50</v>
      </c>
      <c r="X138" s="1">
        <v>45960</v>
      </c>
      <c r="Y138" t="s">
        <v>51</v>
      </c>
      <c r="Z138" s="1">
        <v>46007</v>
      </c>
      <c r="AA138" t="s">
        <v>50</v>
      </c>
      <c r="AB138" t="s">
        <v>52</v>
      </c>
      <c r="AC138" s="2">
        <v>0.15</v>
      </c>
      <c r="AD138" t="s">
        <v>53</v>
      </c>
      <c r="AE138" t="s">
        <v>841</v>
      </c>
      <c r="AG138" t="s">
        <v>842</v>
      </c>
      <c r="AI138">
        <v>24040</v>
      </c>
      <c r="AJ138" t="s">
        <v>96</v>
      </c>
      <c r="AK138" t="s">
        <v>97</v>
      </c>
      <c r="AL138" t="s">
        <v>59</v>
      </c>
      <c r="AM138" t="s">
        <v>60</v>
      </c>
      <c r="AN138" t="s">
        <v>61</v>
      </c>
      <c r="AO138" t="s">
        <v>62</v>
      </c>
      <c r="AQ138" t="str">
        <f t="shared" si="6"/>
        <v>8/A Via Isonzo, Stezzano, , 24040, Italie</v>
      </c>
      <c r="AR138" t="str">
        <f t="shared" si="7"/>
        <v>International Client</v>
      </c>
      <c r="AS138" t="s">
        <v>64</v>
      </c>
      <c r="AT138">
        <v>60648</v>
      </c>
      <c r="AU138" t="str">
        <f t="shared" si="8"/>
        <v>High Client</v>
      </c>
    </row>
    <row r="139" spans="1:47" x14ac:dyDescent="0.25">
      <c r="A139" t="s">
        <v>843</v>
      </c>
      <c r="B139" t="s">
        <v>844</v>
      </c>
      <c r="C139" t="s">
        <v>112</v>
      </c>
      <c r="D139" t="s">
        <v>845</v>
      </c>
      <c r="E139" t="s">
        <v>846</v>
      </c>
      <c r="F139">
        <v>2</v>
      </c>
      <c r="G139" t="s">
        <v>847</v>
      </c>
      <c r="H139" s="1">
        <v>45998</v>
      </c>
      <c r="I139" s="1">
        <v>45968</v>
      </c>
      <c r="J139" s="1">
        <v>45911</v>
      </c>
      <c r="K139" s="1">
        <v>45919</v>
      </c>
      <c r="L139" t="s">
        <v>48</v>
      </c>
      <c r="M139" t="s">
        <v>47</v>
      </c>
      <c r="N139" s="1">
        <v>44819</v>
      </c>
      <c r="O139" s="1">
        <v>45911</v>
      </c>
      <c r="P139" t="s">
        <v>46</v>
      </c>
      <c r="Q139" t="s">
        <v>47</v>
      </c>
      <c r="R139" t="s">
        <v>47</v>
      </c>
      <c r="S139" t="s">
        <v>47</v>
      </c>
      <c r="V139" t="s">
        <v>47</v>
      </c>
      <c r="W139" t="s">
        <v>50</v>
      </c>
      <c r="X139" s="1">
        <v>45978</v>
      </c>
      <c r="Y139" t="s">
        <v>51</v>
      </c>
      <c r="Z139" s="1">
        <v>46007</v>
      </c>
      <c r="AA139" t="s">
        <v>117</v>
      </c>
      <c r="AB139" t="s">
        <v>52</v>
      </c>
      <c r="AC139" s="2">
        <v>0</v>
      </c>
      <c r="AD139" t="s">
        <v>53</v>
      </c>
      <c r="AE139" t="s">
        <v>848</v>
      </c>
      <c r="AG139" t="s">
        <v>849</v>
      </c>
      <c r="AI139">
        <v>36260</v>
      </c>
      <c r="AJ139" t="s">
        <v>87</v>
      </c>
      <c r="AK139" t="s">
        <v>88</v>
      </c>
      <c r="AL139" t="s">
        <v>59</v>
      </c>
      <c r="AM139" t="s">
        <v>60</v>
      </c>
      <c r="AN139" t="s">
        <v>61</v>
      </c>
      <c r="AO139" t="s">
        <v>62</v>
      </c>
      <c r="AQ139" t="str">
        <f t="shared" si="6"/>
        <v>12 Rue des Champs du Bois, Reuilly, , 36260, France</v>
      </c>
      <c r="AR139" t="str">
        <f t="shared" si="7"/>
        <v>French Client</v>
      </c>
      <c r="AS139" t="s">
        <v>112</v>
      </c>
      <c r="AT139">
        <v>42858</v>
      </c>
      <c r="AU139" t="str">
        <f t="shared" si="8"/>
        <v>Medium Client</v>
      </c>
    </row>
    <row r="140" spans="1:47" x14ac:dyDescent="0.25">
      <c r="B140" t="s">
        <v>850</v>
      </c>
      <c r="C140" t="s">
        <v>64</v>
      </c>
      <c r="D140" t="s">
        <v>851</v>
      </c>
      <c r="E140" t="s">
        <v>852</v>
      </c>
      <c r="F140">
        <v>1</v>
      </c>
      <c r="G140" t="s">
        <v>49</v>
      </c>
      <c r="H140" t="s">
        <v>47</v>
      </c>
      <c r="I140" s="1">
        <v>45937</v>
      </c>
      <c r="J140" s="1">
        <v>45937</v>
      </c>
      <c r="K140" s="1">
        <v>45945</v>
      </c>
      <c r="L140" t="s">
        <v>48</v>
      </c>
      <c r="M140" t="s">
        <v>47</v>
      </c>
      <c r="N140" s="1">
        <v>44790</v>
      </c>
      <c r="O140" s="1">
        <v>45937</v>
      </c>
      <c r="P140" t="s">
        <v>46</v>
      </c>
      <c r="Q140" t="s">
        <v>47</v>
      </c>
      <c r="R140" t="s">
        <v>47</v>
      </c>
      <c r="S140" t="s">
        <v>47</v>
      </c>
      <c r="T140" t="s">
        <v>67</v>
      </c>
      <c r="U140" t="s">
        <v>613</v>
      </c>
      <c r="V140" t="s">
        <v>47</v>
      </c>
      <c r="W140" t="s">
        <v>50</v>
      </c>
      <c r="X140" s="1">
        <v>45945</v>
      </c>
      <c r="Y140" t="s">
        <v>51</v>
      </c>
      <c r="Z140" s="1">
        <v>46007</v>
      </c>
      <c r="AA140" t="s">
        <v>50</v>
      </c>
      <c r="AB140" t="s">
        <v>52</v>
      </c>
      <c r="AC140" s="2">
        <v>0.15</v>
      </c>
      <c r="AD140" t="s">
        <v>53</v>
      </c>
      <c r="AE140" t="s">
        <v>853</v>
      </c>
      <c r="AF140" t="s">
        <v>854</v>
      </c>
      <c r="AG140" t="s">
        <v>855</v>
      </c>
      <c r="AI140">
        <v>20730</v>
      </c>
      <c r="AJ140" t="s">
        <v>616</v>
      </c>
      <c r="AK140" t="s">
        <v>58</v>
      </c>
      <c r="AL140" t="s">
        <v>59</v>
      </c>
      <c r="AM140" t="s">
        <v>60</v>
      </c>
      <c r="AN140" t="s">
        <v>61</v>
      </c>
      <c r="AO140" t="s">
        <v>62</v>
      </c>
      <c r="AQ140" t="str">
        <f t="shared" si="6"/>
        <v>Skanssinkatu 10 , Turku, , 20730, Finlande</v>
      </c>
      <c r="AR140" t="str">
        <f t="shared" si="7"/>
        <v>International Client</v>
      </c>
      <c r="AS140" t="s">
        <v>64</v>
      </c>
      <c r="AT140">
        <v>18536</v>
      </c>
      <c r="AU140" t="str">
        <f t="shared" si="8"/>
        <v>Medium Client</v>
      </c>
    </row>
    <row r="141" spans="1:47" x14ac:dyDescent="0.25">
      <c r="B141" t="s">
        <v>856</v>
      </c>
      <c r="C141" t="s">
        <v>285</v>
      </c>
      <c r="D141" t="s">
        <v>857</v>
      </c>
      <c r="E141" t="s">
        <v>858</v>
      </c>
      <c r="F141">
        <v>1</v>
      </c>
      <c r="G141" t="s">
        <v>46</v>
      </c>
      <c r="H141" s="1">
        <v>45519</v>
      </c>
      <c r="I141" s="1">
        <v>45452</v>
      </c>
      <c r="J141" s="1">
        <v>45452</v>
      </c>
      <c r="K141" t="s">
        <v>47</v>
      </c>
      <c r="L141" t="s">
        <v>48</v>
      </c>
      <c r="M141" t="s">
        <v>47</v>
      </c>
      <c r="N141" s="1">
        <v>44364</v>
      </c>
      <c r="O141" s="1">
        <v>45452</v>
      </c>
      <c r="P141" t="s">
        <v>46</v>
      </c>
      <c r="Q141" t="s">
        <v>47</v>
      </c>
      <c r="R141" t="s">
        <v>47</v>
      </c>
      <c r="S141" t="s">
        <v>47</v>
      </c>
      <c r="V141" t="s">
        <v>47</v>
      </c>
      <c r="W141" t="s">
        <v>50</v>
      </c>
      <c r="X141" s="1">
        <v>45457</v>
      </c>
      <c r="Y141" t="s">
        <v>51</v>
      </c>
      <c r="Z141" s="1">
        <v>46007</v>
      </c>
      <c r="AA141" t="s">
        <v>50</v>
      </c>
      <c r="AB141" t="s">
        <v>52</v>
      </c>
      <c r="AC141" s="2">
        <v>0.15</v>
      </c>
      <c r="AD141" t="s">
        <v>53</v>
      </c>
      <c r="AE141" t="s">
        <v>859</v>
      </c>
      <c r="AF141" t="s">
        <v>860</v>
      </c>
      <c r="AG141" t="s">
        <v>861</v>
      </c>
      <c r="AI141">
        <v>34300</v>
      </c>
      <c r="AJ141" t="s">
        <v>87</v>
      </c>
      <c r="AK141" t="s">
        <v>88</v>
      </c>
      <c r="AL141" t="s">
        <v>59</v>
      </c>
      <c r="AM141" t="s">
        <v>60</v>
      </c>
      <c r="AN141" t="s">
        <v>61</v>
      </c>
      <c r="AO141" t="s">
        <v>62</v>
      </c>
      <c r="AQ141" t="str">
        <f t="shared" si="6"/>
        <v>2 Avenue de Vias, Agde, , 34300, France</v>
      </c>
      <c r="AR141" t="str">
        <f t="shared" si="7"/>
        <v>French Client</v>
      </c>
      <c r="AS141" t="s">
        <v>285</v>
      </c>
      <c r="AT141">
        <v>37794</v>
      </c>
      <c r="AU141" t="str">
        <f t="shared" si="8"/>
        <v>Medium Client</v>
      </c>
    </row>
    <row r="142" spans="1:47" x14ac:dyDescent="0.25">
      <c r="B142" t="s">
        <v>862</v>
      </c>
      <c r="C142" t="s">
        <v>43</v>
      </c>
      <c r="D142" t="s">
        <v>863</v>
      </c>
      <c r="E142" t="s">
        <v>864</v>
      </c>
      <c r="F142">
        <v>2</v>
      </c>
      <c r="G142" t="s">
        <v>46</v>
      </c>
      <c r="H142" s="1">
        <v>45738</v>
      </c>
      <c r="I142" s="1">
        <v>45738</v>
      </c>
      <c r="J142" s="1">
        <v>45420</v>
      </c>
      <c r="K142" t="s">
        <v>47</v>
      </c>
      <c r="L142" t="s">
        <v>48</v>
      </c>
      <c r="M142" t="s">
        <v>47</v>
      </c>
      <c r="N142" s="1">
        <v>44400</v>
      </c>
      <c r="O142" s="1">
        <v>45420</v>
      </c>
      <c r="P142" t="s">
        <v>574</v>
      </c>
      <c r="Q142" t="s">
        <v>47</v>
      </c>
      <c r="R142" t="s">
        <v>47</v>
      </c>
      <c r="S142" t="s">
        <v>47</v>
      </c>
      <c r="T142" t="s">
        <v>67</v>
      </c>
      <c r="U142" t="s">
        <v>575</v>
      </c>
      <c r="V142" t="s">
        <v>47</v>
      </c>
      <c r="W142" t="s">
        <v>50</v>
      </c>
      <c r="X142" s="1">
        <v>45747</v>
      </c>
      <c r="Y142" t="s">
        <v>51</v>
      </c>
      <c r="Z142" s="1">
        <v>45635</v>
      </c>
      <c r="AA142" t="s">
        <v>50</v>
      </c>
      <c r="AB142" t="s">
        <v>52</v>
      </c>
      <c r="AC142" s="2">
        <v>0.15</v>
      </c>
      <c r="AD142" t="s">
        <v>53</v>
      </c>
      <c r="AE142" t="s">
        <v>865</v>
      </c>
      <c r="AG142" t="s">
        <v>866</v>
      </c>
      <c r="AI142">
        <v>8330</v>
      </c>
      <c r="AJ142" t="s">
        <v>578</v>
      </c>
      <c r="AK142" t="s">
        <v>58</v>
      </c>
      <c r="AL142" t="s">
        <v>511</v>
      </c>
      <c r="AM142" t="s">
        <v>60</v>
      </c>
      <c r="AN142" t="s">
        <v>61</v>
      </c>
      <c r="AO142" t="s">
        <v>62</v>
      </c>
      <c r="AQ142" t="str">
        <f t="shared" si="6"/>
        <v>9 HÃ¸jvÃ¦nget, Beder, , 8330, Danemark</v>
      </c>
      <c r="AR142" t="str">
        <f t="shared" si="7"/>
        <v>International Client</v>
      </c>
      <c r="AS142" t="s">
        <v>43</v>
      </c>
      <c r="AT142">
        <v>74934</v>
      </c>
      <c r="AU142" t="str">
        <f t="shared" si="8"/>
        <v>High Client</v>
      </c>
    </row>
    <row r="143" spans="1:47" x14ac:dyDescent="0.25">
      <c r="B143" t="s">
        <v>867</v>
      </c>
      <c r="C143" t="s">
        <v>75</v>
      </c>
      <c r="D143" t="s">
        <v>868</v>
      </c>
      <c r="E143" t="s">
        <v>869</v>
      </c>
      <c r="F143">
        <v>1</v>
      </c>
      <c r="G143" t="s">
        <v>46</v>
      </c>
      <c r="H143" s="1">
        <v>45580</v>
      </c>
      <c r="I143" s="1">
        <v>45564</v>
      </c>
      <c r="J143" s="1">
        <v>45564</v>
      </c>
      <c r="K143" t="s">
        <v>47</v>
      </c>
      <c r="L143" t="s">
        <v>48</v>
      </c>
      <c r="M143" t="s">
        <v>47</v>
      </c>
      <c r="N143" s="1">
        <v>44546</v>
      </c>
      <c r="O143" s="1">
        <v>45564</v>
      </c>
      <c r="P143" t="s">
        <v>46</v>
      </c>
      <c r="Q143" t="s">
        <v>47</v>
      </c>
      <c r="R143" t="s">
        <v>47</v>
      </c>
      <c r="S143" t="s">
        <v>47</v>
      </c>
      <c r="V143" t="s">
        <v>47</v>
      </c>
      <c r="W143" t="s">
        <v>50</v>
      </c>
      <c r="X143" s="1">
        <v>45574</v>
      </c>
      <c r="Y143" t="s">
        <v>51</v>
      </c>
      <c r="Z143" s="1">
        <v>46007</v>
      </c>
      <c r="AA143" t="s">
        <v>50</v>
      </c>
      <c r="AB143" t="s">
        <v>52</v>
      </c>
      <c r="AC143" s="2">
        <v>0.15</v>
      </c>
      <c r="AD143" t="s">
        <v>53</v>
      </c>
      <c r="AE143" t="s">
        <v>870</v>
      </c>
      <c r="AG143" t="s">
        <v>871</v>
      </c>
      <c r="AI143">
        <v>68310</v>
      </c>
      <c r="AJ143" t="s">
        <v>87</v>
      </c>
      <c r="AK143" t="s">
        <v>88</v>
      </c>
      <c r="AL143" t="s">
        <v>59</v>
      </c>
      <c r="AM143" t="s">
        <v>60</v>
      </c>
      <c r="AN143" t="s">
        <v>61</v>
      </c>
      <c r="AO143" t="s">
        <v>62</v>
      </c>
      <c r="AQ143" t="str">
        <f t="shared" si="6"/>
        <v>218 Rue De Reiningue, WITTELSHEIM, , 68310, France</v>
      </c>
      <c r="AR143" t="str">
        <f t="shared" si="7"/>
        <v>French Client</v>
      </c>
      <c r="AS143" t="s">
        <v>75</v>
      </c>
      <c r="AT143">
        <v>13152</v>
      </c>
      <c r="AU143" t="str">
        <f t="shared" si="8"/>
        <v>Medium Client</v>
      </c>
    </row>
    <row r="144" spans="1:47" x14ac:dyDescent="0.25">
      <c r="B144" t="s">
        <v>872</v>
      </c>
      <c r="C144" t="s">
        <v>64</v>
      </c>
      <c r="D144" t="s">
        <v>873</v>
      </c>
      <c r="E144" t="s">
        <v>874</v>
      </c>
      <c r="F144">
        <v>1</v>
      </c>
      <c r="G144" t="s">
        <v>49</v>
      </c>
      <c r="H144" t="s">
        <v>47</v>
      </c>
      <c r="I144" s="1">
        <v>45834</v>
      </c>
      <c r="J144" s="1">
        <v>45834</v>
      </c>
      <c r="K144" t="s">
        <v>47</v>
      </c>
      <c r="L144" t="s">
        <v>48</v>
      </c>
      <c r="M144" t="s">
        <v>47</v>
      </c>
      <c r="N144" s="1">
        <v>45783</v>
      </c>
      <c r="O144" s="1">
        <v>45834</v>
      </c>
      <c r="P144" t="s">
        <v>46</v>
      </c>
      <c r="Q144" t="s">
        <v>47</v>
      </c>
      <c r="R144" t="s">
        <v>47</v>
      </c>
      <c r="S144" t="s">
        <v>47</v>
      </c>
      <c r="T144" t="s">
        <v>67</v>
      </c>
      <c r="V144" t="s">
        <v>47</v>
      </c>
      <c r="W144" t="s">
        <v>50</v>
      </c>
      <c r="X144" s="1">
        <v>45842</v>
      </c>
      <c r="Y144" t="s">
        <v>51</v>
      </c>
      <c r="Z144" s="1">
        <v>46007</v>
      </c>
      <c r="AA144" t="s">
        <v>50</v>
      </c>
      <c r="AB144" t="s">
        <v>52</v>
      </c>
      <c r="AC144" s="2">
        <v>0.15</v>
      </c>
      <c r="AD144" t="s">
        <v>53</v>
      </c>
      <c r="AE144" t="s">
        <v>875</v>
      </c>
      <c r="AG144" t="s">
        <v>876</v>
      </c>
      <c r="AI144">
        <v>35480</v>
      </c>
      <c r="AJ144" t="s">
        <v>87</v>
      </c>
      <c r="AK144" t="s">
        <v>88</v>
      </c>
      <c r="AL144" t="s">
        <v>59</v>
      </c>
      <c r="AM144" t="s">
        <v>60</v>
      </c>
      <c r="AN144" t="s">
        <v>61</v>
      </c>
      <c r="AO144" t="s">
        <v>62</v>
      </c>
      <c r="AQ144" t="str">
        <f t="shared" si="6"/>
        <v>19 La RenonniÃ¨re, Guipry-Messac, , 35480, France</v>
      </c>
      <c r="AR144" t="str">
        <f t="shared" si="7"/>
        <v>French Client</v>
      </c>
      <c r="AS144" t="s">
        <v>64</v>
      </c>
      <c r="AT144">
        <v>22078</v>
      </c>
      <c r="AU144" t="str">
        <f t="shared" si="8"/>
        <v>Medium Client</v>
      </c>
    </row>
    <row r="145" spans="2:47" x14ac:dyDescent="0.25">
      <c r="B145" t="s">
        <v>877</v>
      </c>
      <c r="C145" t="s">
        <v>90</v>
      </c>
      <c r="D145" t="s">
        <v>878</v>
      </c>
      <c r="E145" t="s">
        <v>879</v>
      </c>
      <c r="F145">
        <v>1</v>
      </c>
      <c r="G145" t="s">
        <v>49</v>
      </c>
      <c r="H145" t="s">
        <v>47</v>
      </c>
      <c r="I145" s="1">
        <v>45945</v>
      </c>
      <c r="J145" s="1">
        <v>45945</v>
      </c>
      <c r="K145" s="1">
        <v>45951</v>
      </c>
      <c r="L145" t="s">
        <v>48</v>
      </c>
      <c r="M145" t="s">
        <v>47</v>
      </c>
      <c r="N145" s="1">
        <v>45945</v>
      </c>
      <c r="O145" s="1">
        <v>45945</v>
      </c>
      <c r="P145" t="s">
        <v>46</v>
      </c>
      <c r="Q145" t="s">
        <v>47</v>
      </c>
      <c r="R145" t="s">
        <v>47</v>
      </c>
      <c r="S145" t="s">
        <v>47</v>
      </c>
      <c r="V145" t="s">
        <v>47</v>
      </c>
      <c r="W145" t="s">
        <v>50</v>
      </c>
      <c r="X145" s="1">
        <v>45951</v>
      </c>
      <c r="Y145" t="s">
        <v>51</v>
      </c>
      <c r="Z145" s="1">
        <v>46007</v>
      </c>
      <c r="AA145" t="s">
        <v>50</v>
      </c>
      <c r="AB145" t="s">
        <v>52</v>
      </c>
      <c r="AC145" s="2">
        <v>0.15</v>
      </c>
      <c r="AD145" t="s">
        <v>53</v>
      </c>
      <c r="AE145" t="s">
        <v>880</v>
      </c>
      <c r="AG145" t="s">
        <v>881</v>
      </c>
      <c r="AI145">
        <v>78580</v>
      </c>
      <c r="AJ145" t="s">
        <v>87</v>
      </c>
      <c r="AK145" t="s">
        <v>88</v>
      </c>
      <c r="AL145" t="s">
        <v>59</v>
      </c>
      <c r="AM145" t="s">
        <v>60</v>
      </c>
      <c r="AN145" t="s">
        <v>61</v>
      </c>
      <c r="AO145" t="s">
        <v>62</v>
      </c>
      <c r="AQ145" t="str">
        <f t="shared" si="6"/>
        <v>20 Rue des Vergers, Les Alluets-le-Roi, , 78580, France</v>
      </c>
      <c r="AR145" t="str">
        <f t="shared" si="7"/>
        <v>French Client</v>
      </c>
      <c r="AS145" t="s">
        <v>90</v>
      </c>
      <c r="AT145">
        <v>16560</v>
      </c>
      <c r="AU145" t="str">
        <f t="shared" si="8"/>
        <v>Medium Client</v>
      </c>
    </row>
    <row r="146" spans="2:47" x14ac:dyDescent="0.25">
      <c r="B146" t="s">
        <v>882</v>
      </c>
      <c r="C146" t="s">
        <v>64</v>
      </c>
      <c r="D146" t="s">
        <v>883</v>
      </c>
      <c r="E146" t="s">
        <v>884</v>
      </c>
      <c r="F146">
        <v>2</v>
      </c>
      <c r="G146" t="s">
        <v>885</v>
      </c>
      <c r="H146" s="1">
        <v>45936</v>
      </c>
      <c r="I146" s="1">
        <v>45901</v>
      </c>
      <c r="J146" s="1">
        <v>45817</v>
      </c>
      <c r="K146" s="1">
        <v>45824</v>
      </c>
      <c r="L146" t="s">
        <v>48</v>
      </c>
      <c r="M146" t="s">
        <v>47</v>
      </c>
      <c r="N146" s="1">
        <v>45815</v>
      </c>
      <c r="O146" s="1">
        <v>45817</v>
      </c>
      <c r="P146" t="s">
        <v>646</v>
      </c>
      <c r="Q146" t="s">
        <v>47</v>
      </c>
      <c r="R146" t="s">
        <v>47</v>
      </c>
      <c r="S146" t="s">
        <v>47</v>
      </c>
      <c r="V146" t="s">
        <v>47</v>
      </c>
      <c r="W146" t="s">
        <v>50</v>
      </c>
      <c r="X146" s="1">
        <v>45909</v>
      </c>
      <c r="Y146" t="s">
        <v>51</v>
      </c>
      <c r="Z146" s="1">
        <v>46007</v>
      </c>
      <c r="AA146" t="s">
        <v>50</v>
      </c>
      <c r="AB146" t="s">
        <v>52</v>
      </c>
      <c r="AC146" s="2">
        <v>0.15</v>
      </c>
      <c r="AD146" t="s">
        <v>53</v>
      </c>
      <c r="AE146" t="s">
        <v>886</v>
      </c>
      <c r="AG146" t="s">
        <v>887</v>
      </c>
      <c r="AI146">
        <v>2853</v>
      </c>
      <c r="AJ146" t="s">
        <v>649</v>
      </c>
      <c r="AK146" t="s">
        <v>88</v>
      </c>
      <c r="AL146" t="s">
        <v>59</v>
      </c>
      <c r="AM146" t="s">
        <v>60</v>
      </c>
      <c r="AN146" t="s">
        <v>61</v>
      </c>
      <c r="AO146" t="s">
        <v>62</v>
      </c>
      <c r="AQ146" t="str">
        <f t="shared" si="6"/>
        <v>3 Rue de la ClÃ© du PrÃ©, Courfaivre, , 2853, Suisse</v>
      </c>
      <c r="AR146" t="str">
        <f t="shared" si="7"/>
        <v>International Client</v>
      </c>
      <c r="AS146" t="s">
        <v>64</v>
      </c>
      <c r="AT146">
        <v>23982</v>
      </c>
      <c r="AU146" t="str">
        <f t="shared" si="8"/>
        <v>Medium Client</v>
      </c>
    </row>
    <row r="147" spans="2:47" x14ac:dyDescent="0.25">
      <c r="B147" t="s">
        <v>888</v>
      </c>
      <c r="C147" t="s">
        <v>198</v>
      </c>
      <c r="D147" t="s">
        <v>889</v>
      </c>
      <c r="E147" t="s">
        <v>890</v>
      </c>
      <c r="F147">
        <v>1</v>
      </c>
      <c r="G147" t="s">
        <v>46</v>
      </c>
      <c r="H147" s="1">
        <v>45290</v>
      </c>
      <c r="I147" s="1">
        <v>44673</v>
      </c>
      <c r="J147" s="1">
        <v>44673</v>
      </c>
      <c r="K147" t="s">
        <v>47</v>
      </c>
      <c r="L147" t="s">
        <v>48</v>
      </c>
      <c r="M147" t="s">
        <v>47</v>
      </c>
      <c r="N147" s="1">
        <v>44616</v>
      </c>
      <c r="O147" s="1">
        <v>44673</v>
      </c>
      <c r="P147" t="s">
        <v>46</v>
      </c>
      <c r="Q147" t="s">
        <v>47</v>
      </c>
      <c r="R147" t="s">
        <v>47</v>
      </c>
      <c r="S147" t="s">
        <v>47</v>
      </c>
      <c r="V147" t="s">
        <v>47</v>
      </c>
      <c r="W147" t="s">
        <v>50</v>
      </c>
      <c r="X147" s="1">
        <v>44707</v>
      </c>
      <c r="Y147" t="s">
        <v>51</v>
      </c>
      <c r="Z147" s="1">
        <v>46007</v>
      </c>
      <c r="AA147" t="s">
        <v>50</v>
      </c>
      <c r="AB147" t="s">
        <v>52</v>
      </c>
      <c r="AC147" s="2">
        <v>0.15</v>
      </c>
      <c r="AD147" t="s">
        <v>53</v>
      </c>
      <c r="AE147" t="s">
        <v>891</v>
      </c>
      <c r="AG147" t="s">
        <v>892</v>
      </c>
      <c r="AI147">
        <v>59490</v>
      </c>
      <c r="AJ147" t="s">
        <v>87</v>
      </c>
      <c r="AK147" t="s">
        <v>88</v>
      </c>
      <c r="AL147" t="s">
        <v>59</v>
      </c>
      <c r="AM147" t="s">
        <v>60</v>
      </c>
      <c r="AN147" t="s">
        <v>61</v>
      </c>
      <c r="AO147" t="s">
        <v>62</v>
      </c>
      <c r="AQ147" t="str">
        <f t="shared" si="6"/>
        <v>21 Rue Pasteur, Bruille-lez-Marchiennes, , 59490, France</v>
      </c>
      <c r="AR147" t="str">
        <f t="shared" si="7"/>
        <v>French Client</v>
      </c>
      <c r="AS147" t="s">
        <v>198</v>
      </c>
      <c r="AT147">
        <v>20672</v>
      </c>
      <c r="AU147" t="str">
        <f t="shared" si="8"/>
        <v>Medium Client</v>
      </c>
    </row>
    <row r="148" spans="2:47" x14ac:dyDescent="0.25">
      <c r="B148" t="s">
        <v>893</v>
      </c>
      <c r="C148" t="s">
        <v>112</v>
      </c>
      <c r="D148" t="s">
        <v>894</v>
      </c>
      <c r="E148" t="s">
        <v>895</v>
      </c>
      <c r="F148">
        <v>6</v>
      </c>
      <c r="G148" t="s">
        <v>46</v>
      </c>
      <c r="H148" s="1">
        <v>46006</v>
      </c>
      <c r="I148" s="1">
        <v>46006</v>
      </c>
      <c r="J148" s="1">
        <v>45735</v>
      </c>
      <c r="K148" s="1">
        <v>45740</v>
      </c>
      <c r="L148" t="s">
        <v>48</v>
      </c>
      <c r="M148" t="s">
        <v>47</v>
      </c>
      <c r="N148" s="1">
        <v>45524</v>
      </c>
      <c r="O148" s="1">
        <v>45735</v>
      </c>
      <c r="P148" t="s">
        <v>46</v>
      </c>
      <c r="Q148" t="s">
        <v>47</v>
      </c>
      <c r="R148" t="s">
        <v>47</v>
      </c>
      <c r="S148" t="s">
        <v>47</v>
      </c>
      <c r="T148" t="s">
        <v>67</v>
      </c>
      <c r="V148" t="s">
        <v>47</v>
      </c>
      <c r="W148" t="s">
        <v>50</v>
      </c>
      <c r="X148" s="1">
        <v>45966</v>
      </c>
      <c r="Y148" t="s">
        <v>51</v>
      </c>
      <c r="Z148" s="1">
        <v>46007</v>
      </c>
      <c r="AA148" t="s">
        <v>50</v>
      </c>
      <c r="AB148" t="s">
        <v>52</v>
      </c>
      <c r="AC148" s="2">
        <v>0.15</v>
      </c>
      <c r="AD148" t="s">
        <v>53</v>
      </c>
      <c r="AE148" t="s">
        <v>896</v>
      </c>
      <c r="AG148" t="s">
        <v>897</v>
      </c>
      <c r="AI148">
        <v>16430</v>
      </c>
      <c r="AJ148" t="s">
        <v>87</v>
      </c>
      <c r="AK148" t="s">
        <v>88</v>
      </c>
      <c r="AL148" t="s">
        <v>59</v>
      </c>
      <c r="AM148" t="s">
        <v>60</v>
      </c>
      <c r="AN148" t="s">
        <v>61</v>
      </c>
      <c r="AO148" t="s">
        <v>62</v>
      </c>
      <c r="AQ148" t="str">
        <f t="shared" si="6"/>
        <v>34 Rue de la Croix Blanche, Champniers, , 16430, France</v>
      </c>
      <c r="AR148" t="str">
        <f t="shared" si="7"/>
        <v>French Client</v>
      </c>
      <c r="AS148" t="s">
        <v>112</v>
      </c>
      <c r="AT148">
        <v>152732</v>
      </c>
      <c r="AU148" t="str">
        <f t="shared" si="8"/>
        <v>High Client</v>
      </c>
    </row>
    <row r="149" spans="2:47" x14ac:dyDescent="0.25">
      <c r="B149" t="s">
        <v>898</v>
      </c>
      <c r="C149" t="s">
        <v>64</v>
      </c>
      <c r="D149" t="s">
        <v>899</v>
      </c>
      <c r="E149" t="s">
        <v>900</v>
      </c>
      <c r="F149">
        <v>1</v>
      </c>
      <c r="G149" t="s">
        <v>522</v>
      </c>
      <c r="H149" s="1">
        <v>45801</v>
      </c>
      <c r="I149" s="1">
        <v>45428</v>
      </c>
      <c r="J149" s="1">
        <v>45428</v>
      </c>
      <c r="K149" t="s">
        <v>47</v>
      </c>
      <c r="L149" t="s">
        <v>48</v>
      </c>
      <c r="M149" t="s">
        <v>47</v>
      </c>
      <c r="N149" s="1">
        <v>44791</v>
      </c>
      <c r="O149" s="1">
        <v>45428</v>
      </c>
      <c r="P149" t="s">
        <v>46</v>
      </c>
      <c r="Q149" t="s">
        <v>47</v>
      </c>
      <c r="R149" t="s">
        <v>47</v>
      </c>
      <c r="S149" t="s">
        <v>47</v>
      </c>
      <c r="V149" t="s">
        <v>47</v>
      </c>
      <c r="W149" t="s">
        <v>50</v>
      </c>
      <c r="X149" s="1">
        <v>45436</v>
      </c>
      <c r="Y149" t="s">
        <v>51</v>
      </c>
      <c r="Z149" s="1">
        <v>46007</v>
      </c>
      <c r="AA149" t="s">
        <v>50</v>
      </c>
      <c r="AB149" t="s">
        <v>52</v>
      </c>
      <c r="AC149" s="2">
        <v>0.15</v>
      </c>
      <c r="AD149" t="s">
        <v>53</v>
      </c>
      <c r="AE149" t="s">
        <v>901</v>
      </c>
      <c r="AG149" t="s">
        <v>902</v>
      </c>
      <c r="AI149">
        <v>59192</v>
      </c>
      <c r="AJ149" t="s">
        <v>87</v>
      </c>
      <c r="AK149" t="s">
        <v>88</v>
      </c>
      <c r="AL149" t="s">
        <v>59</v>
      </c>
      <c r="AM149" t="s">
        <v>60</v>
      </c>
      <c r="AN149" t="s">
        <v>61</v>
      </c>
      <c r="AO149" t="s">
        <v>62</v>
      </c>
      <c r="AQ149" t="str">
        <f t="shared" si="6"/>
        <v>7 Rue Jean Chanat, Beuvrages, , 59192, France</v>
      </c>
      <c r="AR149" t="str">
        <f t="shared" si="7"/>
        <v>French Client</v>
      </c>
      <c r="AS149" t="s">
        <v>64</v>
      </c>
      <c r="AT149">
        <v>38088</v>
      </c>
      <c r="AU149" t="str">
        <f t="shared" si="8"/>
        <v>Medium Client</v>
      </c>
    </row>
    <row r="150" spans="2:47" x14ac:dyDescent="0.25">
      <c r="B150" t="s">
        <v>903</v>
      </c>
      <c r="C150" t="s">
        <v>90</v>
      </c>
      <c r="D150" t="s">
        <v>904</v>
      </c>
      <c r="E150" t="s">
        <v>905</v>
      </c>
      <c r="F150">
        <v>4</v>
      </c>
      <c r="G150" t="s">
        <v>906</v>
      </c>
      <c r="H150" s="1">
        <v>45981</v>
      </c>
      <c r="I150" s="1">
        <v>45940</v>
      </c>
      <c r="J150" s="1">
        <v>45345</v>
      </c>
      <c r="K150" s="1">
        <v>45359</v>
      </c>
      <c r="L150" t="s">
        <v>48</v>
      </c>
      <c r="M150" s="1">
        <v>45790</v>
      </c>
      <c r="N150" s="1">
        <v>44397</v>
      </c>
      <c r="O150" s="1">
        <v>45345</v>
      </c>
      <c r="P150" t="s">
        <v>46</v>
      </c>
      <c r="Q150" t="s">
        <v>47</v>
      </c>
      <c r="R150" t="s">
        <v>47</v>
      </c>
      <c r="S150" t="s">
        <v>47</v>
      </c>
      <c r="T150" t="s">
        <v>67</v>
      </c>
      <c r="U150" t="s">
        <v>613</v>
      </c>
      <c r="V150" t="s">
        <v>47</v>
      </c>
      <c r="W150" t="s">
        <v>50</v>
      </c>
      <c r="X150" s="1">
        <v>45953</v>
      </c>
      <c r="Y150" t="s">
        <v>51</v>
      </c>
      <c r="Z150" s="1">
        <v>46007</v>
      </c>
      <c r="AA150" t="s">
        <v>50</v>
      </c>
      <c r="AB150" t="s">
        <v>52</v>
      </c>
      <c r="AC150" s="2">
        <v>0.15</v>
      </c>
      <c r="AD150" t="s">
        <v>53</v>
      </c>
      <c r="AE150" t="s">
        <v>907</v>
      </c>
      <c r="AG150" t="s">
        <v>908</v>
      </c>
      <c r="AI150">
        <v>80100</v>
      </c>
      <c r="AJ150" t="s">
        <v>616</v>
      </c>
      <c r="AK150" t="s">
        <v>58</v>
      </c>
      <c r="AL150" t="s">
        <v>59</v>
      </c>
      <c r="AM150" t="s">
        <v>60</v>
      </c>
      <c r="AN150" t="s">
        <v>61</v>
      </c>
      <c r="AO150" t="s">
        <v>62</v>
      </c>
      <c r="AQ150" t="str">
        <f t="shared" si="6"/>
        <v>28 Kauppakatu, Joensuu, , 80100, Finlande</v>
      </c>
      <c r="AR150" t="str">
        <f t="shared" si="7"/>
        <v>International Client</v>
      </c>
      <c r="AS150" t="s">
        <v>90</v>
      </c>
      <c r="AT150">
        <v>204234</v>
      </c>
      <c r="AU150" t="str">
        <f t="shared" si="8"/>
        <v>High Client</v>
      </c>
    </row>
    <row r="151" spans="2:47" x14ac:dyDescent="0.25">
      <c r="B151" t="s">
        <v>909</v>
      </c>
      <c r="C151" t="s">
        <v>112</v>
      </c>
      <c r="D151" t="s">
        <v>910</v>
      </c>
      <c r="E151" t="s">
        <v>911</v>
      </c>
      <c r="F151">
        <v>1</v>
      </c>
      <c r="G151" t="s">
        <v>46</v>
      </c>
      <c r="H151" t="s">
        <v>47</v>
      </c>
      <c r="I151" s="1">
        <v>45166</v>
      </c>
      <c r="J151" s="1">
        <v>45166</v>
      </c>
      <c r="K151" t="s">
        <v>47</v>
      </c>
      <c r="L151" t="s">
        <v>48</v>
      </c>
      <c r="M151" t="s">
        <v>47</v>
      </c>
      <c r="N151" s="1">
        <v>44470</v>
      </c>
      <c r="O151" s="1">
        <v>45166</v>
      </c>
      <c r="P151" t="s">
        <v>46</v>
      </c>
      <c r="Q151" t="s">
        <v>47</v>
      </c>
      <c r="R151" t="s">
        <v>47</v>
      </c>
      <c r="S151" t="s">
        <v>47</v>
      </c>
      <c r="V151" t="s">
        <v>47</v>
      </c>
      <c r="W151" t="s">
        <v>50</v>
      </c>
      <c r="X151" s="1">
        <v>45206</v>
      </c>
      <c r="Y151" t="s">
        <v>51</v>
      </c>
      <c r="Z151" s="1">
        <v>46007</v>
      </c>
      <c r="AA151" t="s">
        <v>50</v>
      </c>
      <c r="AB151" t="s">
        <v>52</v>
      </c>
      <c r="AC151" s="2">
        <v>0.15</v>
      </c>
      <c r="AD151" t="s">
        <v>53</v>
      </c>
      <c r="AE151" t="s">
        <v>912</v>
      </c>
      <c r="AG151" t="s">
        <v>913</v>
      </c>
      <c r="AI151">
        <v>2230</v>
      </c>
      <c r="AJ151" t="s">
        <v>87</v>
      </c>
      <c r="AK151" t="s">
        <v>88</v>
      </c>
      <c r="AL151" t="s">
        <v>59</v>
      </c>
      <c r="AM151" t="s">
        <v>60</v>
      </c>
      <c r="AN151" t="s">
        <v>61</v>
      </c>
      <c r="AO151" t="s">
        <v>62</v>
      </c>
      <c r="AQ151" t="str">
        <f t="shared" si="6"/>
        <v>36 Rue Gambetta, Fresnoy-le-Grand, , 2230, France</v>
      </c>
      <c r="AR151" t="str">
        <f t="shared" si="7"/>
        <v>French Client</v>
      </c>
      <c r="AS151" t="s">
        <v>112</v>
      </c>
      <c r="AT151">
        <v>15210</v>
      </c>
      <c r="AU151" t="str">
        <f t="shared" si="8"/>
        <v>Medium Client</v>
      </c>
    </row>
    <row r="152" spans="2:47" x14ac:dyDescent="0.25">
      <c r="B152" t="s">
        <v>914</v>
      </c>
      <c r="C152" t="s">
        <v>64</v>
      </c>
      <c r="D152" t="s">
        <v>915</v>
      </c>
      <c r="E152" t="s">
        <v>916</v>
      </c>
      <c r="F152">
        <v>1</v>
      </c>
      <c r="G152" t="s">
        <v>49</v>
      </c>
      <c r="H152" t="s">
        <v>47</v>
      </c>
      <c r="I152" s="1">
        <v>45964</v>
      </c>
      <c r="J152" s="1">
        <v>45964</v>
      </c>
      <c r="K152" s="1">
        <v>45971</v>
      </c>
      <c r="L152" t="s">
        <v>48</v>
      </c>
      <c r="M152" t="s">
        <v>47</v>
      </c>
      <c r="N152" s="1">
        <v>44887</v>
      </c>
      <c r="O152" s="1">
        <v>45964</v>
      </c>
      <c r="P152" t="s">
        <v>46</v>
      </c>
      <c r="Q152" t="s">
        <v>47</v>
      </c>
      <c r="R152" t="s">
        <v>47</v>
      </c>
      <c r="S152" t="s">
        <v>47</v>
      </c>
      <c r="V152" t="s">
        <v>47</v>
      </c>
      <c r="W152" t="s">
        <v>50</v>
      </c>
      <c r="X152" s="1">
        <v>45971</v>
      </c>
      <c r="Y152" t="s">
        <v>51</v>
      </c>
      <c r="Z152" s="1">
        <v>46007</v>
      </c>
      <c r="AA152" t="s">
        <v>50</v>
      </c>
      <c r="AB152" t="s">
        <v>52</v>
      </c>
      <c r="AC152" s="2">
        <v>0.15</v>
      </c>
      <c r="AD152" t="s">
        <v>53</v>
      </c>
      <c r="AE152" t="s">
        <v>917</v>
      </c>
      <c r="AG152" t="s">
        <v>918</v>
      </c>
      <c r="AI152">
        <v>44118</v>
      </c>
      <c r="AJ152" t="s">
        <v>87</v>
      </c>
      <c r="AK152" t="s">
        <v>88</v>
      </c>
      <c r="AL152" t="s">
        <v>59</v>
      </c>
      <c r="AM152" t="s">
        <v>60</v>
      </c>
      <c r="AN152" t="s">
        <v>61</v>
      </c>
      <c r="AO152" t="s">
        <v>62</v>
      </c>
      <c r="AQ152" t="s">
        <v>1366</v>
      </c>
      <c r="AR152" t="str">
        <f t="shared" si="7"/>
        <v>French Client</v>
      </c>
      <c r="AS152" t="s">
        <v>64</v>
      </c>
      <c r="AT152">
        <v>18192</v>
      </c>
      <c r="AU152" t="str">
        <f t="shared" si="8"/>
        <v>Medium Client</v>
      </c>
    </row>
    <row r="153" spans="2:47" x14ac:dyDescent="0.25">
      <c r="B153" t="s">
        <v>919</v>
      </c>
      <c r="C153" t="s">
        <v>112</v>
      </c>
      <c r="D153" t="s">
        <v>920</v>
      </c>
      <c r="E153" t="s">
        <v>921</v>
      </c>
      <c r="F153">
        <v>1</v>
      </c>
      <c r="G153" t="s">
        <v>46</v>
      </c>
      <c r="H153" s="1">
        <v>45890</v>
      </c>
      <c r="I153" s="1">
        <v>45671</v>
      </c>
      <c r="J153" s="1">
        <v>45671</v>
      </c>
      <c r="K153" t="s">
        <v>47</v>
      </c>
      <c r="L153" t="s">
        <v>48</v>
      </c>
      <c r="M153" t="s">
        <v>47</v>
      </c>
      <c r="N153" s="1">
        <v>45610</v>
      </c>
      <c r="O153" s="1">
        <v>45671</v>
      </c>
      <c r="P153" t="s">
        <v>46</v>
      </c>
      <c r="Q153" t="s">
        <v>47</v>
      </c>
      <c r="R153" t="s">
        <v>47</v>
      </c>
      <c r="S153" t="s">
        <v>47</v>
      </c>
      <c r="T153" t="s">
        <v>67</v>
      </c>
      <c r="V153" t="s">
        <v>47</v>
      </c>
      <c r="W153" t="s">
        <v>50</v>
      </c>
      <c r="X153" s="1">
        <v>45681</v>
      </c>
      <c r="Y153" t="s">
        <v>51</v>
      </c>
      <c r="Z153" s="1">
        <v>46007</v>
      </c>
      <c r="AA153" t="s">
        <v>50</v>
      </c>
      <c r="AB153" t="s">
        <v>52</v>
      </c>
      <c r="AC153" s="2">
        <v>0.15</v>
      </c>
      <c r="AD153" t="s">
        <v>53</v>
      </c>
      <c r="AE153" t="s">
        <v>922</v>
      </c>
      <c r="AG153" t="s">
        <v>923</v>
      </c>
      <c r="AI153">
        <v>49280</v>
      </c>
      <c r="AJ153" t="s">
        <v>87</v>
      </c>
      <c r="AK153" t="s">
        <v>88</v>
      </c>
      <c r="AL153" t="s">
        <v>59</v>
      </c>
      <c r="AM153" t="s">
        <v>60</v>
      </c>
      <c r="AN153" t="s">
        <v>61</v>
      </c>
      <c r="AO153" t="s">
        <v>62</v>
      </c>
      <c r="AQ153" t="s">
        <v>1364</v>
      </c>
      <c r="AR153" t="str">
        <f t="shared" si="7"/>
        <v>French Client</v>
      </c>
      <c r="AS153" t="s">
        <v>112</v>
      </c>
      <c r="AT153">
        <v>25380</v>
      </c>
      <c r="AU153" t="str">
        <f t="shared" si="8"/>
        <v>Medium Client</v>
      </c>
    </row>
    <row r="154" spans="2:47" x14ac:dyDescent="0.25">
      <c r="B154" t="s">
        <v>924</v>
      </c>
      <c r="C154" t="s">
        <v>64</v>
      </c>
      <c r="D154" t="s">
        <v>925</v>
      </c>
      <c r="E154" t="s">
        <v>926</v>
      </c>
      <c r="F154">
        <v>1</v>
      </c>
      <c r="G154" t="s">
        <v>49</v>
      </c>
      <c r="H154" t="s">
        <v>47</v>
      </c>
      <c r="I154" s="1">
        <v>45965</v>
      </c>
      <c r="J154" s="1">
        <v>45965</v>
      </c>
      <c r="K154" s="1">
        <v>45972</v>
      </c>
      <c r="L154" t="s">
        <v>48</v>
      </c>
      <c r="M154" t="s">
        <v>47</v>
      </c>
      <c r="N154" s="1">
        <v>45951</v>
      </c>
      <c r="O154" s="1">
        <v>45965</v>
      </c>
      <c r="P154" t="s">
        <v>46</v>
      </c>
      <c r="Q154" t="s">
        <v>47</v>
      </c>
      <c r="R154" t="s">
        <v>47</v>
      </c>
      <c r="S154" t="s">
        <v>47</v>
      </c>
      <c r="V154" t="s">
        <v>47</v>
      </c>
      <c r="W154" t="s">
        <v>50</v>
      </c>
      <c r="X154" s="1">
        <v>45972</v>
      </c>
      <c r="Y154" t="s">
        <v>51</v>
      </c>
      <c r="Z154" s="1">
        <v>46007</v>
      </c>
      <c r="AA154" t="s">
        <v>50</v>
      </c>
      <c r="AB154" t="s">
        <v>52</v>
      </c>
      <c r="AC154" s="2">
        <v>0.15</v>
      </c>
      <c r="AD154" t="s">
        <v>53</v>
      </c>
      <c r="AE154" t="s">
        <v>927</v>
      </c>
      <c r="AG154" t="s">
        <v>928</v>
      </c>
      <c r="AI154">
        <v>25020</v>
      </c>
      <c r="AJ154" t="s">
        <v>96</v>
      </c>
      <c r="AK154" t="s">
        <v>97</v>
      </c>
      <c r="AL154" t="s">
        <v>59</v>
      </c>
      <c r="AM154" t="s">
        <v>98</v>
      </c>
      <c r="AN154" t="s">
        <v>61</v>
      </c>
      <c r="AO154" t="s">
        <v>62</v>
      </c>
      <c r="AQ154" t="str">
        <f t="shared" si="6"/>
        <v>97 Piazza Quattro Novembre, Flero, , 25020, Italie</v>
      </c>
      <c r="AR154" t="str">
        <f t="shared" si="7"/>
        <v>International Client</v>
      </c>
      <c r="AS154" t="s">
        <v>64</v>
      </c>
      <c r="AT154">
        <v>19904</v>
      </c>
      <c r="AU154" t="str">
        <f t="shared" si="8"/>
        <v>Medium Client</v>
      </c>
    </row>
    <row r="155" spans="2:47" x14ac:dyDescent="0.25">
      <c r="B155" t="s">
        <v>929</v>
      </c>
      <c r="C155" t="s">
        <v>64</v>
      </c>
      <c r="D155" t="s">
        <v>930</v>
      </c>
      <c r="E155" t="s">
        <v>172</v>
      </c>
      <c r="F155">
        <v>1</v>
      </c>
      <c r="G155" t="s">
        <v>49</v>
      </c>
      <c r="H155" t="s">
        <v>47</v>
      </c>
      <c r="I155" s="1">
        <v>45987</v>
      </c>
      <c r="J155" s="1">
        <v>45987</v>
      </c>
      <c r="K155" s="1">
        <v>45995</v>
      </c>
      <c r="L155" t="s">
        <v>48</v>
      </c>
      <c r="M155" t="s">
        <v>47</v>
      </c>
      <c r="N155" s="1">
        <v>45913</v>
      </c>
      <c r="O155" s="1">
        <v>45987</v>
      </c>
      <c r="P155" t="s">
        <v>931</v>
      </c>
      <c r="Q155" t="s">
        <v>47</v>
      </c>
      <c r="R155" t="s">
        <v>47</v>
      </c>
      <c r="S155" t="s">
        <v>47</v>
      </c>
      <c r="V155" t="s">
        <v>47</v>
      </c>
      <c r="W155" t="s">
        <v>50</v>
      </c>
      <c r="X155" s="1">
        <v>45995</v>
      </c>
      <c r="Y155" t="s">
        <v>51</v>
      </c>
      <c r="Z155" s="1">
        <v>46007</v>
      </c>
      <c r="AA155" t="s">
        <v>50</v>
      </c>
      <c r="AB155" t="s">
        <v>52</v>
      </c>
      <c r="AC155" s="2">
        <v>0.15</v>
      </c>
      <c r="AD155" t="s">
        <v>53</v>
      </c>
      <c r="AE155" t="s">
        <v>932</v>
      </c>
      <c r="AG155" t="s">
        <v>933</v>
      </c>
      <c r="AI155">
        <v>30167</v>
      </c>
      <c r="AJ155" t="s">
        <v>934</v>
      </c>
      <c r="AK155" t="s">
        <v>58</v>
      </c>
      <c r="AL155" t="s">
        <v>59</v>
      </c>
      <c r="AM155" t="s">
        <v>98</v>
      </c>
      <c r="AN155" t="s">
        <v>61</v>
      </c>
      <c r="AO155" t="s">
        <v>62</v>
      </c>
      <c r="AQ155" t="s">
        <v>1360</v>
      </c>
      <c r="AR155" t="str">
        <f t="shared" si="7"/>
        <v>International Client</v>
      </c>
      <c r="AS155" t="s">
        <v>64</v>
      </c>
      <c r="AT155">
        <v>15840</v>
      </c>
      <c r="AU155" t="str">
        <f t="shared" si="8"/>
        <v>Medium Client</v>
      </c>
    </row>
    <row r="156" spans="2:47" x14ac:dyDescent="0.25">
      <c r="B156" t="s">
        <v>935</v>
      </c>
      <c r="C156" t="s">
        <v>64</v>
      </c>
      <c r="D156" t="s">
        <v>936</v>
      </c>
      <c r="E156" t="s">
        <v>937</v>
      </c>
      <c r="F156">
        <v>1</v>
      </c>
      <c r="G156" t="s">
        <v>46</v>
      </c>
      <c r="H156" s="1">
        <v>45275</v>
      </c>
      <c r="I156" s="1">
        <v>45162</v>
      </c>
      <c r="J156" s="1">
        <v>45162</v>
      </c>
      <c r="K156" t="s">
        <v>47</v>
      </c>
      <c r="L156" t="s">
        <v>48</v>
      </c>
      <c r="M156" t="s">
        <v>47</v>
      </c>
      <c r="N156" s="1">
        <v>45120</v>
      </c>
      <c r="O156" s="1">
        <v>45162</v>
      </c>
      <c r="P156" t="s">
        <v>46</v>
      </c>
      <c r="Q156" t="s">
        <v>47</v>
      </c>
      <c r="R156" t="s">
        <v>47</v>
      </c>
      <c r="S156" t="s">
        <v>47</v>
      </c>
      <c r="V156" t="s">
        <v>47</v>
      </c>
      <c r="W156" t="s">
        <v>50</v>
      </c>
      <c r="X156" s="1">
        <v>45197</v>
      </c>
      <c r="Y156" t="s">
        <v>51</v>
      </c>
      <c r="Z156" s="1">
        <v>46007</v>
      </c>
      <c r="AA156" t="s">
        <v>50</v>
      </c>
      <c r="AB156" t="s">
        <v>52</v>
      </c>
      <c r="AC156" s="2">
        <v>0.15</v>
      </c>
      <c r="AD156" t="s">
        <v>53</v>
      </c>
      <c r="AE156" t="s">
        <v>938</v>
      </c>
      <c r="AG156" t="s">
        <v>939</v>
      </c>
      <c r="AI156">
        <v>31600</v>
      </c>
      <c r="AJ156" t="s">
        <v>87</v>
      </c>
      <c r="AK156" t="s">
        <v>88</v>
      </c>
      <c r="AL156" t="s">
        <v>59</v>
      </c>
      <c r="AM156" t="s">
        <v>60</v>
      </c>
      <c r="AN156" t="s">
        <v>61</v>
      </c>
      <c r="AO156" t="s">
        <v>62</v>
      </c>
      <c r="AQ156" t="str">
        <f t="shared" si="6"/>
        <v>14 Chemin du Banque, Labastidette, , 31600, France</v>
      </c>
      <c r="AR156" t="str">
        <f t="shared" si="7"/>
        <v>French Client</v>
      </c>
      <c r="AS156" t="s">
        <v>64</v>
      </c>
      <c r="AT156">
        <v>37788</v>
      </c>
      <c r="AU156" t="str">
        <f t="shared" si="8"/>
        <v>Medium Client</v>
      </c>
    </row>
    <row r="157" spans="2:47" x14ac:dyDescent="0.25">
      <c r="B157" t="s">
        <v>940</v>
      </c>
      <c r="C157" t="s">
        <v>64</v>
      </c>
      <c r="D157" t="s">
        <v>941</v>
      </c>
      <c r="E157" t="s">
        <v>942</v>
      </c>
      <c r="F157">
        <v>2</v>
      </c>
      <c r="G157" t="s">
        <v>46</v>
      </c>
      <c r="H157" s="1">
        <v>44745</v>
      </c>
      <c r="I157" s="1">
        <v>44718</v>
      </c>
      <c r="J157" s="1">
        <v>44676</v>
      </c>
      <c r="K157" t="s">
        <v>47</v>
      </c>
      <c r="L157" t="s">
        <v>48</v>
      </c>
      <c r="M157" t="s">
        <v>47</v>
      </c>
      <c r="N157" s="1">
        <v>44605</v>
      </c>
      <c r="O157" s="1">
        <v>44676</v>
      </c>
      <c r="P157" t="s">
        <v>46</v>
      </c>
      <c r="Q157" t="s">
        <v>47</v>
      </c>
      <c r="R157" t="s">
        <v>47</v>
      </c>
      <c r="S157" t="s">
        <v>47</v>
      </c>
      <c r="V157" t="s">
        <v>47</v>
      </c>
      <c r="W157" t="s">
        <v>50</v>
      </c>
      <c r="X157" s="1">
        <v>44752</v>
      </c>
      <c r="Y157" t="s">
        <v>51</v>
      </c>
      <c r="Z157" s="1">
        <v>46007</v>
      </c>
      <c r="AA157" t="s">
        <v>50</v>
      </c>
      <c r="AB157" t="s">
        <v>52</v>
      </c>
      <c r="AC157" s="2">
        <v>0.15</v>
      </c>
      <c r="AD157" t="s">
        <v>53</v>
      </c>
      <c r="AE157" t="s">
        <v>943</v>
      </c>
      <c r="AG157" t="s">
        <v>944</v>
      </c>
      <c r="AI157">
        <v>86415</v>
      </c>
      <c r="AJ157" t="s">
        <v>945</v>
      </c>
      <c r="AK157" t="s">
        <v>946</v>
      </c>
      <c r="AL157" t="s">
        <v>59</v>
      </c>
      <c r="AM157" t="s">
        <v>60</v>
      </c>
      <c r="AN157" t="s">
        <v>61</v>
      </c>
      <c r="AO157" t="s">
        <v>62</v>
      </c>
      <c r="AQ157" t="str">
        <f t="shared" si="6"/>
        <v>17 Am Unterfeld, Mering, , 86415, Allemagne</v>
      </c>
      <c r="AR157" t="str">
        <f t="shared" si="7"/>
        <v>International Client</v>
      </c>
      <c r="AS157" t="s">
        <v>64</v>
      </c>
      <c r="AT157">
        <v>41854</v>
      </c>
      <c r="AU157" t="str">
        <f t="shared" si="8"/>
        <v>Medium Client</v>
      </c>
    </row>
    <row r="158" spans="2:47" x14ac:dyDescent="0.25">
      <c r="B158" t="s">
        <v>947</v>
      </c>
      <c r="C158" t="s">
        <v>112</v>
      </c>
      <c r="D158" t="s">
        <v>948</v>
      </c>
      <c r="E158" t="s">
        <v>949</v>
      </c>
      <c r="F158">
        <v>1</v>
      </c>
      <c r="G158" t="s">
        <v>950</v>
      </c>
      <c r="H158" s="1">
        <v>45859</v>
      </c>
      <c r="I158" s="1">
        <v>45322</v>
      </c>
      <c r="J158" s="1">
        <v>45322</v>
      </c>
      <c r="K158" t="s">
        <v>47</v>
      </c>
      <c r="L158" t="s">
        <v>48</v>
      </c>
      <c r="M158" t="s">
        <v>47</v>
      </c>
      <c r="N158" s="1">
        <v>44650</v>
      </c>
      <c r="O158" s="1">
        <v>45322</v>
      </c>
      <c r="P158" t="s">
        <v>46</v>
      </c>
      <c r="Q158" t="s">
        <v>47</v>
      </c>
      <c r="R158" t="s">
        <v>47</v>
      </c>
      <c r="S158" t="s">
        <v>47</v>
      </c>
      <c r="V158" t="s">
        <v>47</v>
      </c>
      <c r="W158" t="s">
        <v>50</v>
      </c>
      <c r="X158" s="1">
        <v>45331</v>
      </c>
      <c r="Y158" t="s">
        <v>51</v>
      </c>
      <c r="Z158" s="1">
        <v>46007</v>
      </c>
      <c r="AA158" t="s">
        <v>50</v>
      </c>
      <c r="AB158" t="s">
        <v>52</v>
      </c>
      <c r="AC158" s="2">
        <v>0.15</v>
      </c>
      <c r="AD158" t="s">
        <v>53</v>
      </c>
      <c r="AE158" t="s">
        <v>951</v>
      </c>
      <c r="AG158" t="s">
        <v>952</v>
      </c>
      <c r="AI158" t="s">
        <v>953</v>
      </c>
      <c r="AJ158" t="s">
        <v>430</v>
      </c>
      <c r="AK158" t="s">
        <v>954</v>
      </c>
      <c r="AL158" t="s">
        <v>59</v>
      </c>
      <c r="AM158" t="s">
        <v>60</v>
      </c>
      <c r="AN158" t="s">
        <v>61</v>
      </c>
      <c r="AO158" t="s">
        <v>62</v>
      </c>
      <c r="AQ158" t="str">
        <f t="shared" si="6"/>
        <v>5 Rua Monteiro de Lima, Abrantes, , 2200-421, Portugal</v>
      </c>
      <c r="AR158" t="str">
        <f t="shared" si="7"/>
        <v>International Client</v>
      </c>
      <c r="AS158" t="s">
        <v>112</v>
      </c>
      <c r="AT158">
        <v>14126</v>
      </c>
      <c r="AU158" t="str">
        <f t="shared" si="8"/>
        <v>Medium Client</v>
      </c>
    </row>
    <row r="159" spans="2:47" x14ac:dyDescent="0.25">
      <c r="B159" t="s">
        <v>955</v>
      </c>
      <c r="C159" t="s">
        <v>64</v>
      </c>
      <c r="D159" t="s">
        <v>956</v>
      </c>
      <c r="E159" t="s">
        <v>957</v>
      </c>
      <c r="F159">
        <v>3</v>
      </c>
      <c r="G159" t="s">
        <v>46</v>
      </c>
      <c r="H159" s="1">
        <v>45974</v>
      </c>
      <c r="I159" s="1">
        <v>45974</v>
      </c>
      <c r="J159" s="1">
        <v>45649</v>
      </c>
      <c r="K159" s="1">
        <v>45657</v>
      </c>
      <c r="L159" t="s">
        <v>48</v>
      </c>
      <c r="M159" t="s">
        <v>47</v>
      </c>
      <c r="N159" s="1">
        <v>44367</v>
      </c>
      <c r="O159" s="1">
        <v>45649</v>
      </c>
      <c r="P159" t="s">
        <v>46</v>
      </c>
      <c r="Q159" t="s">
        <v>47</v>
      </c>
      <c r="R159" t="s">
        <v>47</v>
      </c>
      <c r="S159" t="s">
        <v>47</v>
      </c>
      <c r="V159" t="s">
        <v>47</v>
      </c>
      <c r="W159" t="s">
        <v>50</v>
      </c>
      <c r="X159" s="1">
        <v>45982</v>
      </c>
      <c r="Y159" t="s">
        <v>51</v>
      </c>
      <c r="Z159" s="1">
        <v>46007</v>
      </c>
      <c r="AA159" t="s">
        <v>50</v>
      </c>
      <c r="AB159" t="s">
        <v>52</v>
      </c>
      <c r="AC159" s="2">
        <v>0.15</v>
      </c>
      <c r="AD159" t="s">
        <v>53</v>
      </c>
      <c r="AE159" t="s">
        <v>958</v>
      </c>
      <c r="AG159" t="s">
        <v>959</v>
      </c>
      <c r="AI159">
        <v>55000</v>
      </c>
      <c r="AJ159" t="s">
        <v>87</v>
      </c>
      <c r="AK159" t="s">
        <v>88</v>
      </c>
      <c r="AL159" t="s">
        <v>59</v>
      </c>
      <c r="AM159" t="s">
        <v>60</v>
      </c>
      <c r="AN159" t="s">
        <v>61</v>
      </c>
      <c r="AO159" t="s">
        <v>62</v>
      </c>
      <c r="AQ159" t="str">
        <f t="shared" si="6"/>
        <v>2 Rue de Couchot, Bar-le-Duc, , 55000, France</v>
      </c>
      <c r="AR159" t="str">
        <f t="shared" si="7"/>
        <v>French Client</v>
      </c>
      <c r="AS159" t="s">
        <v>64</v>
      </c>
      <c r="AT159">
        <v>42114</v>
      </c>
      <c r="AU159" t="str">
        <f t="shared" si="8"/>
        <v>Medium Client</v>
      </c>
    </row>
    <row r="160" spans="2:47" x14ac:dyDescent="0.25">
      <c r="B160" t="s">
        <v>960</v>
      </c>
      <c r="C160" t="s">
        <v>112</v>
      </c>
      <c r="D160" t="s">
        <v>961</v>
      </c>
      <c r="E160" t="s">
        <v>962</v>
      </c>
      <c r="F160">
        <v>3</v>
      </c>
      <c r="G160" t="s">
        <v>46</v>
      </c>
      <c r="H160" s="1">
        <v>45602</v>
      </c>
      <c r="I160" s="1">
        <v>45602</v>
      </c>
      <c r="J160" s="1">
        <v>45406</v>
      </c>
      <c r="K160" t="s">
        <v>47</v>
      </c>
      <c r="L160" t="s">
        <v>48</v>
      </c>
      <c r="M160" t="s">
        <v>47</v>
      </c>
      <c r="N160" s="1">
        <v>45222</v>
      </c>
      <c r="O160" s="1">
        <v>45406</v>
      </c>
      <c r="P160" t="s">
        <v>46</v>
      </c>
      <c r="Q160" t="s">
        <v>47</v>
      </c>
      <c r="R160" t="s">
        <v>47</v>
      </c>
      <c r="S160" t="s">
        <v>47</v>
      </c>
      <c r="V160" t="s">
        <v>47</v>
      </c>
      <c r="W160" t="s">
        <v>50</v>
      </c>
      <c r="X160" s="1">
        <v>45614</v>
      </c>
      <c r="Y160" t="s">
        <v>51</v>
      </c>
      <c r="Z160" s="1">
        <v>45951</v>
      </c>
      <c r="AA160" t="s">
        <v>50</v>
      </c>
      <c r="AB160" t="s">
        <v>52</v>
      </c>
      <c r="AC160" s="2">
        <v>0.15</v>
      </c>
      <c r="AD160" t="s">
        <v>53</v>
      </c>
      <c r="AE160" t="s">
        <v>963</v>
      </c>
      <c r="AG160" t="s">
        <v>964</v>
      </c>
      <c r="AI160">
        <v>7972</v>
      </c>
      <c r="AJ160" t="s">
        <v>164</v>
      </c>
      <c r="AK160" t="s">
        <v>88</v>
      </c>
      <c r="AL160" t="s">
        <v>511</v>
      </c>
      <c r="AM160" t="s">
        <v>60</v>
      </c>
      <c r="AN160" t="s">
        <v>61</v>
      </c>
      <c r="AO160" t="s">
        <v>62</v>
      </c>
      <c r="AQ160" t="str">
        <f t="shared" si="6"/>
        <v>15 Rue Lucien Laurent, Beloeil, , 7972, Belgique</v>
      </c>
      <c r="AR160" t="str">
        <f t="shared" si="7"/>
        <v>International Client</v>
      </c>
      <c r="AS160" t="s">
        <v>112</v>
      </c>
      <c r="AT160">
        <v>46694</v>
      </c>
      <c r="AU160" t="str">
        <f t="shared" si="8"/>
        <v>Medium Client</v>
      </c>
    </row>
    <row r="161" spans="1:47" x14ac:dyDescent="0.25">
      <c r="B161" t="s">
        <v>965</v>
      </c>
      <c r="C161" t="s">
        <v>112</v>
      </c>
      <c r="D161" t="s">
        <v>966</v>
      </c>
      <c r="E161" t="s">
        <v>967</v>
      </c>
      <c r="F161">
        <v>1</v>
      </c>
      <c r="G161" t="s">
        <v>46</v>
      </c>
      <c r="H161" t="s">
        <v>47</v>
      </c>
      <c r="I161" s="1">
        <v>45249</v>
      </c>
      <c r="J161" s="1">
        <v>45249</v>
      </c>
      <c r="K161" t="s">
        <v>47</v>
      </c>
      <c r="L161" t="s">
        <v>48</v>
      </c>
      <c r="M161" t="s">
        <v>47</v>
      </c>
      <c r="N161" s="1">
        <v>44595</v>
      </c>
      <c r="O161" s="1">
        <v>45249</v>
      </c>
      <c r="P161" t="s">
        <v>46</v>
      </c>
      <c r="Q161" t="s">
        <v>47</v>
      </c>
      <c r="R161" t="s">
        <v>47</v>
      </c>
      <c r="S161" t="s">
        <v>47</v>
      </c>
      <c r="T161" t="s">
        <v>67</v>
      </c>
      <c r="V161" t="s">
        <v>47</v>
      </c>
      <c r="W161" t="s">
        <v>50</v>
      </c>
      <c r="X161" s="1">
        <v>45283</v>
      </c>
      <c r="Y161" t="s">
        <v>51</v>
      </c>
      <c r="Z161" s="1">
        <v>46007</v>
      </c>
      <c r="AA161" t="s">
        <v>50</v>
      </c>
      <c r="AB161" t="s">
        <v>52</v>
      </c>
      <c r="AC161" s="2">
        <v>0.15</v>
      </c>
      <c r="AD161" t="s">
        <v>53</v>
      </c>
      <c r="AE161" t="s">
        <v>968</v>
      </c>
      <c r="AG161" t="s">
        <v>969</v>
      </c>
      <c r="AI161">
        <v>12000</v>
      </c>
      <c r="AJ161" t="s">
        <v>87</v>
      </c>
      <c r="AK161" t="s">
        <v>88</v>
      </c>
      <c r="AL161" t="s">
        <v>59</v>
      </c>
      <c r="AM161" t="s">
        <v>98</v>
      </c>
      <c r="AN161" t="s">
        <v>61</v>
      </c>
      <c r="AO161" t="s">
        <v>62</v>
      </c>
      <c r="AQ161" t="s">
        <v>1361</v>
      </c>
      <c r="AR161" t="str">
        <f t="shared" si="7"/>
        <v>French Client</v>
      </c>
      <c r="AS161" t="s">
        <v>112</v>
      </c>
      <c r="AT161">
        <v>15046</v>
      </c>
      <c r="AU161" t="str">
        <f t="shared" si="8"/>
        <v>Medium Client</v>
      </c>
    </row>
    <row r="162" spans="1:47" x14ac:dyDescent="0.25">
      <c r="B162" t="s">
        <v>970</v>
      </c>
      <c r="C162" t="s">
        <v>112</v>
      </c>
      <c r="D162" t="s">
        <v>971</v>
      </c>
      <c r="E162" t="s">
        <v>46</v>
      </c>
      <c r="F162">
        <v>0</v>
      </c>
      <c r="G162" t="s">
        <v>46</v>
      </c>
      <c r="H162" t="s">
        <v>47</v>
      </c>
      <c r="I162" t="s">
        <v>47</v>
      </c>
      <c r="J162" t="s">
        <v>47</v>
      </c>
      <c r="K162" t="s">
        <v>47</v>
      </c>
      <c r="L162" t="s">
        <v>48</v>
      </c>
      <c r="M162" t="s">
        <v>47</v>
      </c>
      <c r="N162" s="1">
        <v>43946</v>
      </c>
      <c r="O162" s="1">
        <v>45300</v>
      </c>
      <c r="P162" t="s">
        <v>49</v>
      </c>
      <c r="Q162" t="s">
        <v>47</v>
      </c>
      <c r="R162" t="s">
        <v>47</v>
      </c>
      <c r="S162" t="s">
        <v>47</v>
      </c>
      <c r="V162" t="s">
        <v>47</v>
      </c>
      <c r="W162" t="s">
        <v>50</v>
      </c>
      <c r="X162" t="s">
        <v>47</v>
      </c>
      <c r="Y162" t="s">
        <v>51</v>
      </c>
      <c r="Z162" s="1">
        <v>46007</v>
      </c>
      <c r="AA162" t="s">
        <v>50</v>
      </c>
      <c r="AB162" t="s">
        <v>52</v>
      </c>
      <c r="AC162" s="2">
        <v>0.15</v>
      </c>
      <c r="AD162" t="s">
        <v>53</v>
      </c>
      <c r="AE162" t="s">
        <v>972</v>
      </c>
      <c r="AF162" t="s">
        <v>973</v>
      </c>
      <c r="AG162" t="s">
        <v>974</v>
      </c>
      <c r="AH162" t="s">
        <v>975</v>
      </c>
      <c r="AI162">
        <v>92004</v>
      </c>
      <c r="AJ162" t="s">
        <v>57</v>
      </c>
      <c r="AK162" t="s">
        <v>58</v>
      </c>
      <c r="AL162" t="s">
        <v>59</v>
      </c>
      <c r="AN162" t="s">
        <v>73</v>
      </c>
      <c r="AO162" t="s">
        <v>62</v>
      </c>
      <c r="AQ162" t="str">
        <f t="shared" si="6"/>
        <v>1514 Fairway Ct., Borrego Springs, CA, 92004, Ã‰tats-Unis</v>
      </c>
      <c r="AR162" t="str">
        <f t="shared" si="7"/>
        <v>International Client</v>
      </c>
      <c r="AS162" t="s">
        <v>112</v>
      </c>
      <c r="AT162">
        <v>0</v>
      </c>
      <c r="AU162" t="str">
        <f t="shared" si="8"/>
        <v>Low Client</v>
      </c>
    </row>
    <row r="163" spans="1:47" x14ac:dyDescent="0.25">
      <c r="B163" t="s">
        <v>976</v>
      </c>
      <c r="C163" t="s">
        <v>198</v>
      </c>
      <c r="D163" t="s">
        <v>977</v>
      </c>
      <c r="E163" t="s">
        <v>978</v>
      </c>
      <c r="F163">
        <v>1</v>
      </c>
      <c r="G163" t="s">
        <v>49</v>
      </c>
      <c r="H163" t="s">
        <v>47</v>
      </c>
      <c r="I163" s="1">
        <v>45608</v>
      </c>
      <c r="J163" s="1">
        <v>45608</v>
      </c>
      <c r="K163" t="s">
        <v>47</v>
      </c>
      <c r="L163" t="s">
        <v>48</v>
      </c>
      <c r="M163" t="s">
        <v>47</v>
      </c>
      <c r="N163" s="1">
        <v>45602</v>
      </c>
      <c r="O163" s="1">
        <v>45608</v>
      </c>
      <c r="P163" t="s">
        <v>46</v>
      </c>
      <c r="Q163" t="s">
        <v>47</v>
      </c>
      <c r="R163" t="s">
        <v>47</v>
      </c>
      <c r="S163" t="s">
        <v>47</v>
      </c>
      <c r="V163" t="s">
        <v>47</v>
      </c>
      <c r="W163" t="s">
        <v>50</v>
      </c>
      <c r="X163" s="1">
        <v>45614</v>
      </c>
      <c r="Y163" t="s">
        <v>51</v>
      </c>
      <c r="Z163" s="1">
        <v>46007</v>
      </c>
      <c r="AA163" t="s">
        <v>50</v>
      </c>
      <c r="AB163" t="s">
        <v>52</v>
      </c>
      <c r="AC163" s="2">
        <v>0.15</v>
      </c>
      <c r="AD163" t="s">
        <v>53</v>
      </c>
      <c r="AE163" t="s">
        <v>979</v>
      </c>
      <c r="AG163" t="s">
        <v>980</v>
      </c>
      <c r="AI163">
        <v>35400</v>
      </c>
      <c r="AJ163" t="s">
        <v>87</v>
      </c>
      <c r="AK163" t="s">
        <v>88</v>
      </c>
      <c r="AL163" t="s">
        <v>59</v>
      </c>
      <c r="AM163" t="s">
        <v>60</v>
      </c>
      <c r="AN163" t="s">
        <v>61</v>
      </c>
      <c r="AO163" t="s">
        <v>62</v>
      </c>
      <c r="AQ163" t="str">
        <f t="shared" si="6"/>
        <v>15 rue guillaume onfroy, Saint Malo, , 35400, France</v>
      </c>
      <c r="AR163" t="str">
        <f t="shared" si="7"/>
        <v>French Client</v>
      </c>
      <c r="AS163" t="s">
        <v>198</v>
      </c>
      <c r="AT163">
        <v>22016</v>
      </c>
      <c r="AU163" t="str">
        <f t="shared" si="8"/>
        <v>Medium Client</v>
      </c>
    </row>
    <row r="164" spans="1:47" x14ac:dyDescent="0.25">
      <c r="A164" t="s">
        <v>981</v>
      </c>
      <c r="B164" t="s">
        <v>982</v>
      </c>
      <c r="C164" t="s">
        <v>64</v>
      </c>
      <c r="D164" t="s">
        <v>983</v>
      </c>
      <c r="E164" t="s">
        <v>984</v>
      </c>
      <c r="F164">
        <v>1</v>
      </c>
      <c r="G164" t="s">
        <v>46</v>
      </c>
      <c r="H164" s="1">
        <v>45941</v>
      </c>
      <c r="I164" s="1">
        <v>45942</v>
      </c>
      <c r="J164" s="1">
        <v>45942</v>
      </c>
      <c r="K164" s="1">
        <v>45947</v>
      </c>
      <c r="L164" t="s">
        <v>48</v>
      </c>
      <c r="M164" s="1">
        <v>45942</v>
      </c>
      <c r="N164" s="1">
        <v>45769</v>
      </c>
      <c r="O164" s="1">
        <v>45928</v>
      </c>
      <c r="P164" t="s">
        <v>46</v>
      </c>
      <c r="Q164" t="s">
        <v>47</v>
      </c>
      <c r="R164" t="s">
        <v>47</v>
      </c>
      <c r="S164" t="s">
        <v>47</v>
      </c>
      <c r="V164" t="s">
        <v>47</v>
      </c>
      <c r="W164" t="s">
        <v>50</v>
      </c>
      <c r="X164" s="1">
        <v>45947</v>
      </c>
      <c r="Y164" t="s">
        <v>51</v>
      </c>
      <c r="Z164" s="1">
        <v>46007</v>
      </c>
      <c r="AA164" t="s">
        <v>117</v>
      </c>
      <c r="AB164" t="s">
        <v>52</v>
      </c>
      <c r="AC164" s="2">
        <v>0</v>
      </c>
      <c r="AD164" t="s">
        <v>53</v>
      </c>
      <c r="AE164" t="s">
        <v>985</v>
      </c>
      <c r="AG164" t="s">
        <v>986</v>
      </c>
      <c r="AI164">
        <v>1070</v>
      </c>
      <c r="AJ164" t="s">
        <v>164</v>
      </c>
      <c r="AK164" t="s">
        <v>88</v>
      </c>
      <c r="AL164" t="s">
        <v>137</v>
      </c>
      <c r="AM164" t="s">
        <v>60</v>
      </c>
      <c r="AN164" t="s">
        <v>61</v>
      </c>
      <c r="AO164" t="s">
        <v>62</v>
      </c>
      <c r="AQ164" t="s">
        <v>1362</v>
      </c>
      <c r="AR164" t="str">
        <f t="shared" si="7"/>
        <v>International Client</v>
      </c>
      <c r="AS164" t="s">
        <v>64</v>
      </c>
      <c r="AT164">
        <v>30624</v>
      </c>
      <c r="AU164" t="str">
        <f t="shared" si="8"/>
        <v>Medium Client</v>
      </c>
    </row>
    <row r="165" spans="1:47" x14ac:dyDescent="0.25">
      <c r="B165" t="s">
        <v>987</v>
      </c>
      <c r="C165" t="s">
        <v>64</v>
      </c>
      <c r="D165" t="s">
        <v>988</v>
      </c>
      <c r="E165" t="s">
        <v>989</v>
      </c>
      <c r="F165">
        <v>1</v>
      </c>
      <c r="G165" t="s">
        <v>49</v>
      </c>
      <c r="H165" t="s">
        <v>47</v>
      </c>
      <c r="I165" s="1">
        <v>45779</v>
      </c>
      <c r="J165" s="1">
        <v>45779</v>
      </c>
      <c r="K165" t="s">
        <v>47</v>
      </c>
      <c r="L165" t="s">
        <v>48</v>
      </c>
      <c r="M165" t="s">
        <v>47</v>
      </c>
      <c r="N165" s="1">
        <v>45751</v>
      </c>
      <c r="O165" s="1">
        <v>45779</v>
      </c>
      <c r="P165" t="s">
        <v>46</v>
      </c>
      <c r="Q165" t="s">
        <v>47</v>
      </c>
      <c r="R165" t="s">
        <v>47</v>
      </c>
      <c r="S165" t="s">
        <v>47</v>
      </c>
      <c r="V165" t="s">
        <v>47</v>
      </c>
      <c r="W165" t="s">
        <v>50</v>
      </c>
      <c r="X165" s="1">
        <v>45789</v>
      </c>
      <c r="Y165" t="s">
        <v>51</v>
      </c>
      <c r="Z165" s="1">
        <v>45811</v>
      </c>
      <c r="AA165" t="s">
        <v>50</v>
      </c>
      <c r="AB165" t="s">
        <v>52</v>
      </c>
      <c r="AC165" s="2">
        <v>0.15</v>
      </c>
      <c r="AD165" t="s">
        <v>53</v>
      </c>
      <c r="AE165" t="s">
        <v>990</v>
      </c>
      <c r="AG165" t="s">
        <v>991</v>
      </c>
      <c r="AI165">
        <v>40000</v>
      </c>
      <c r="AJ165" t="s">
        <v>87</v>
      </c>
      <c r="AK165" t="s">
        <v>88</v>
      </c>
      <c r="AL165" t="s">
        <v>137</v>
      </c>
      <c r="AM165" t="s">
        <v>60</v>
      </c>
      <c r="AN165" t="s">
        <v>61</v>
      </c>
      <c r="AO165" t="s">
        <v>62</v>
      </c>
      <c r="AQ165" t="str">
        <f t="shared" si="6"/>
        <v>9 AllÃ©e Jean CavaillÃ¨s, Mont-de-Marsan, , 40000, France</v>
      </c>
      <c r="AR165" t="str">
        <f t="shared" si="7"/>
        <v>French Client</v>
      </c>
      <c r="AS165" t="s">
        <v>64</v>
      </c>
      <c r="AT165">
        <v>12978</v>
      </c>
      <c r="AU165" t="str">
        <f t="shared" si="8"/>
        <v>Medium Client</v>
      </c>
    </row>
    <row r="166" spans="1:47" x14ac:dyDescent="0.25">
      <c r="B166" t="s">
        <v>992</v>
      </c>
      <c r="C166" t="s">
        <v>112</v>
      </c>
      <c r="D166" t="s">
        <v>993</v>
      </c>
      <c r="E166" t="s">
        <v>994</v>
      </c>
      <c r="F166">
        <v>1</v>
      </c>
      <c r="G166" t="s">
        <v>46</v>
      </c>
      <c r="H166" t="s">
        <v>47</v>
      </c>
      <c r="I166" s="1">
        <v>44853</v>
      </c>
      <c r="J166" s="1">
        <v>44853</v>
      </c>
      <c r="K166" t="s">
        <v>47</v>
      </c>
      <c r="L166" t="s">
        <v>48</v>
      </c>
      <c r="M166" t="s">
        <v>47</v>
      </c>
      <c r="N166" s="1">
        <v>44852</v>
      </c>
      <c r="O166" s="1">
        <v>44853</v>
      </c>
      <c r="P166" t="s">
        <v>46</v>
      </c>
      <c r="Q166" t="s">
        <v>47</v>
      </c>
      <c r="R166" t="s">
        <v>47</v>
      </c>
      <c r="S166" t="s">
        <v>47</v>
      </c>
      <c r="V166" t="s">
        <v>47</v>
      </c>
      <c r="W166" t="s">
        <v>50</v>
      </c>
      <c r="X166" s="1">
        <v>44889</v>
      </c>
      <c r="Y166" t="s">
        <v>51</v>
      </c>
      <c r="Z166" s="1">
        <v>46007</v>
      </c>
      <c r="AA166" t="s">
        <v>50</v>
      </c>
      <c r="AB166" t="s">
        <v>52</v>
      </c>
      <c r="AC166" s="2">
        <v>0.15</v>
      </c>
      <c r="AD166" t="s">
        <v>53</v>
      </c>
      <c r="AE166" t="s">
        <v>995</v>
      </c>
      <c r="AG166" t="s">
        <v>495</v>
      </c>
      <c r="AI166">
        <v>13001</v>
      </c>
      <c r="AJ166" t="s">
        <v>87</v>
      </c>
      <c r="AK166" t="s">
        <v>88</v>
      </c>
      <c r="AL166" t="s">
        <v>59</v>
      </c>
      <c r="AM166" t="s">
        <v>60</v>
      </c>
      <c r="AN166" t="s">
        <v>61</v>
      </c>
      <c r="AO166" t="s">
        <v>62</v>
      </c>
      <c r="AQ166" t="str">
        <f t="shared" si="6"/>
        <v>52 Rue de la Palud, Marseille, , 13001, France</v>
      </c>
      <c r="AR166" t="str">
        <f t="shared" si="7"/>
        <v>French Client</v>
      </c>
      <c r="AS166" t="s">
        <v>112</v>
      </c>
      <c r="AT166">
        <v>20112</v>
      </c>
      <c r="AU166" t="str">
        <f t="shared" si="8"/>
        <v>Medium Client</v>
      </c>
    </row>
    <row r="167" spans="1:47" x14ac:dyDescent="0.25">
      <c r="B167" t="s">
        <v>996</v>
      </c>
      <c r="C167" t="s">
        <v>64</v>
      </c>
      <c r="D167" t="s">
        <v>997</v>
      </c>
      <c r="E167" t="s">
        <v>998</v>
      </c>
      <c r="F167">
        <v>1</v>
      </c>
      <c r="G167" t="s">
        <v>46</v>
      </c>
      <c r="H167" t="s">
        <v>47</v>
      </c>
      <c r="I167" s="1">
        <v>44819</v>
      </c>
      <c r="J167" s="1">
        <v>44819</v>
      </c>
      <c r="K167" t="s">
        <v>47</v>
      </c>
      <c r="L167" t="s">
        <v>48</v>
      </c>
      <c r="M167" s="1">
        <v>45558</v>
      </c>
      <c r="N167" s="1">
        <v>44760</v>
      </c>
      <c r="O167" s="1">
        <v>44819</v>
      </c>
      <c r="P167" t="s">
        <v>49</v>
      </c>
      <c r="Q167" t="s">
        <v>47</v>
      </c>
      <c r="R167" t="s">
        <v>47</v>
      </c>
      <c r="S167" t="s">
        <v>47</v>
      </c>
      <c r="V167" t="s">
        <v>47</v>
      </c>
      <c r="W167" t="s">
        <v>50</v>
      </c>
      <c r="X167" s="1">
        <v>44860</v>
      </c>
      <c r="Y167" t="s">
        <v>51</v>
      </c>
      <c r="Z167" s="1">
        <v>46007</v>
      </c>
      <c r="AA167" t="s">
        <v>50</v>
      </c>
      <c r="AB167" t="s">
        <v>52</v>
      </c>
      <c r="AC167" s="2">
        <v>0.15</v>
      </c>
      <c r="AD167" t="s">
        <v>53</v>
      </c>
      <c r="AE167" t="s">
        <v>999</v>
      </c>
      <c r="AG167" t="s">
        <v>1000</v>
      </c>
      <c r="AH167" t="s">
        <v>1001</v>
      </c>
      <c r="AI167">
        <v>35747</v>
      </c>
      <c r="AJ167" t="s">
        <v>57</v>
      </c>
      <c r="AK167" t="s">
        <v>58</v>
      </c>
      <c r="AL167" t="s">
        <v>59</v>
      </c>
      <c r="AM167" t="s">
        <v>60</v>
      </c>
      <c r="AN167" t="s">
        <v>61</v>
      </c>
      <c r="AO167" t="s">
        <v>62</v>
      </c>
      <c r="AQ167" t="str">
        <f t="shared" si="6"/>
        <v>485 Ester Road, Grant, AL, 35747, Ã‰tats-Unis</v>
      </c>
      <c r="AR167" t="str">
        <f t="shared" si="7"/>
        <v>International Client</v>
      </c>
      <c r="AS167" t="s">
        <v>64</v>
      </c>
      <c r="AT167">
        <v>58792</v>
      </c>
      <c r="AU167" t="str">
        <f t="shared" si="8"/>
        <v>High Client</v>
      </c>
    </row>
    <row r="168" spans="1:47" x14ac:dyDescent="0.25">
      <c r="B168" t="s">
        <v>1002</v>
      </c>
      <c r="C168" t="s">
        <v>64</v>
      </c>
      <c r="D168" t="s">
        <v>1003</v>
      </c>
      <c r="E168" t="s">
        <v>1004</v>
      </c>
      <c r="F168">
        <v>1</v>
      </c>
      <c r="G168" t="s">
        <v>1005</v>
      </c>
      <c r="H168" s="1">
        <v>45953</v>
      </c>
      <c r="I168" s="1">
        <v>45323</v>
      </c>
      <c r="J168" s="1">
        <v>45323</v>
      </c>
      <c r="K168" t="s">
        <v>47</v>
      </c>
      <c r="L168" t="s">
        <v>48</v>
      </c>
      <c r="M168" s="1">
        <v>45637</v>
      </c>
      <c r="N168" s="1">
        <v>44670</v>
      </c>
      <c r="O168" s="1">
        <v>45323</v>
      </c>
      <c r="P168" t="s">
        <v>46</v>
      </c>
      <c r="Q168" t="s">
        <v>47</v>
      </c>
      <c r="R168" t="s">
        <v>47</v>
      </c>
      <c r="S168" t="s">
        <v>47</v>
      </c>
      <c r="T168" t="s">
        <v>67</v>
      </c>
      <c r="V168" t="s">
        <v>47</v>
      </c>
      <c r="W168" t="s">
        <v>50</v>
      </c>
      <c r="X168" s="1">
        <v>45330</v>
      </c>
      <c r="Y168" t="s">
        <v>51</v>
      </c>
      <c r="Z168" s="1">
        <v>46007</v>
      </c>
      <c r="AA168" t="s">
        <v>50</v>
      </c>
      <c r="AB168" t="s">
        <v>52</v>
      </c>
      <c r="AC168" s="2">
        <v>0.15</v>
      </c>
      <c r="AD168" t="s">
        <v>53</v>
      </c>
      <c r="AE168" t="s">
        <v>1006</v>
      </c>
      <c r="AG168" t="s">
        <v>1007</v>
      </c>
      <c r="AI168">
        <v>32260</v>
      </c>
      <c r="AJ168" t="s">
        <v>87</v>
      </c>
      <c r="AK168" t="s">
        <v>88</v>
      </c>
      <c r="AL168" t="s">
        <v>59</v>
      </c>
      <c r="AM168" t="s">
        <v>60</v>
      </c>
      <c r="AN168" t="s">
        <v>61</v>
      </c>
      <c r="AO168" t="s">
        <v>62</v>
      </c>
      <c r="AQ168" t="str">
        <f t="shared" si="6"/>
        <v>26 Avenue des PyrÃ©nÃ©es, Seissan, , 32260, France</v>
      </c>
      <c r="AR168" t="str">
        <f t="shared" si="7"/>
        <v>French Client</v>
      </c>
      <c r="AS168" t="s">
        <v>64</v>
      </c>
      <c r="AT168">
        <v>12756</v>
      </c>
      <c r="AU168" t="str">
        <f t="shared" si="8"/>
        <v>Medium Client</v>
      </c>
    </row>
    <row r="169" spans="1:47" x14ac:dyDescent="0.25">
      <c r="B169" t="s">
        <v>1008</v>
      </c>
      <c r="C169" t="s">
        <v>64</v>
      </c>
      <c r="D169" t="s">
        <v>1009</v>
      </c>
      <c r="E169" t="s">
        <v>1010</v>
      </c>
      <c r="F169">
        <v>1</v>
      </c>
      <c r="G169" t="s">
        <v>46</v>
      </c>
      <c r="H169" s="1">
        <v>45267</v>
      </c>
      <c r="I169" s="1">
        <v>45261</v>
      </c>
      <c r="J169" s="1">
        <v>45261</v>
      </c>
      <c r="K169" t="s">
        <v>47</v>
      </c>
      <c r="L169" t="s">
        <v>48</v>
      </c>
      <c r="M169" t="s">
        <v>47</v>
      </c>
      <c r="N169" s="1">
        <v>45251</v>
      </c>
      <c r="O169" s="1">
        <v>45261</v>
      </c>
      <c r="P169" t="s">
        <v>46</v>
      </c>
      <c r="Q169" t="s">
        <v>47</v>
      </c>
      <c r="R169" t="s">
        <v>47</v>
      </c>
      <c r="S169" t="s">
        <v>47</v>
      </c>
      <c r="V169" t="s">
        <v>47</v>
      </c>
      <c r="W169" t="s">
        <v>50</v>
      </c>
      <c r="X169" s="1">
        <v>45296</v>
      </c>
      <c r="Y169" t="s">
        <v>51</v>
      </c>
      <c r="Z169" s="1">
        <v>46007</v>
      </c>
      <c r="AA169" t="s">
        <v>50</v>
      </c>
      <c r="AB169" t="s">
        <v>52</v>
      </c>
      <c r="AC169" s="2">
        <v>0.15</v>
      </c>
      <c r="AD169" t="s">
        <v>53</v>
      </c>
      <c r="AE169" t="s">
        <v>1011</v>
      </c>
      <c r="AG169" t="s">
        <v>1012</v>
      </c>
      <c r="AI169">
        <v>17250</v>
      </c>
      <c r="AJ169" t="s">
        <v>87</v>
      </c>
      <c r="AK169" t="s">
        <v>88</v>
      </c>
      <c r="AL169" t="s">
        <v>59</v>
      </c>
      <c r="AM169" t="s">
        <v>98</v>
      </c>
      <c r="AN169" t="s">
        <v>61</v>
      </c>
      <c r="AO169" t="s">
        <v>62</v>
      </c>
      <c r="AQ169" t="str">
        <f t="shared" si="6"/>
        <v>36 Rue du Grand Village, La VallÃ©e, , 17250, France</v>
      </c>
      <c r="AR169" t="str">
        <f t="shared" si="7"/>
        <v>French Client</v>
      </c>
      <c r="AS169" t="s">
        <v>64</v>
      </c>
      <c r="AT169">
        <v>20722</v>
      </c>
      <c r="AU169" t="str">
        <f t="shared" si="8"/>
        <v>Medium Client</v>
      </c>
    </row>
    <row r="170" spans="1:47" x14ac:dyDescent="0.25">
      <c r="B170" t="s">
        <v>1013</v>
      </c>
      <c r="C170" t="s">
        <v>198</v>
      </c>
      <c r="D170" t="s">
        <v>1014</v>
      </c>
      <c r="E170" t="s">
        <v>1015</v>
      </c>
      <c r="F170">
        <v>2</v>
      </c>
      <c r="G170" t="s">
        <v>1016</v>
      </c>
      <c r="H170" s="1">
        <v>45169</v>
      </c>
      <c r="I170" s="1">
        <v>45095</v>
      </c>
      <c r="J170" s="1">
        <v>44770</v>
      </c>
      <c r="K170" t="s">
        <v>47</v>
      </c>
      <c r="L170" t="s">
        <v>48</v>
      </c>
      <c r="M170" t="s">
        <v>47</v>
      </c>
      <c r="N170" s="1">
        <v>44361</v>
      </c>
      <c r="O170" s="1">
        <v>44770</v>
      </c>
      <c r="P170" t="s">
        <v>46</v>
      </c>
      <c r="Q170" t="s">
        <v>47</v>
      </c>
      <c r="R170" t="s">
        <v>47</v>
      </c>
      <c r="S170" t="s">
        <v>47</v>
      </c>
      <c r="T170" t="s">
        <v>67</v>
      </c>
      <c r="V170" t="s">
        <v>47</v>
      </c>
      <c r="W170" t="s">
        <v>50</v>
      </c>
      <c r="X170" s="1">
        <v>45134</v>
      </c>
      <c r="Y170" t="s">
        <v>51</v>
      </c>
      <c r="Z170" s="1">
        <v>45678</v>
      </c>
      <c r="AA170" t="s">
        <v>50</v>
      </c>
      <c r="AB170" t="s">
        <v>52</v>
      </c>
      <c r="AC170" s="2">
        <v>0.15</v>
      </c>
      <c r="AD170" t="s">
        <v>53</v>
      </c>
      <c r="AE170" t="s">
        <v>1017</v>
      </c>
      <c r="AG170" t="s">
        <v>1018</v>
      </c>
      <c r="AI170">
        <v>76320</v>
      </c>
      <c r="AJ170" t="s">
        <v>87</v>
      </c>
      <c r="AK170" t="s">
        <v>88</v>
      </c>
      <c r="AL170" t="s">
        <v>137</v>
      </c>
      <c r="AM170" t="s">
        <v>60</v>
      </c>
      <c r="AN170" t="s">
        <v>61</v>
      </c>
      <c r="AO170" t="s">
        <v>62</v>
      </c>
      <c r="AQ170" t="str">
        <f t="shared" si="6"/>
        <v>1449 Rue de Louviers, Saint-Pierre-lÃ¨s-Elbeuf, , 76320, France</v>
      </c>
      <c r="AR170" t="str">
        <f t="shared" si="7"/>
        <v>French Client</v>
      </c>
      <c r="AS170" t="s">
        <v>198</v>
      </c>
      <c r="AT170">
        <v>52858</v>
      </c>
      <c r="AU170" t="str">
        <f t="shared" si="8"/>
        <v>High Client</v>
      </c>
    </row>
    <row r="171" spans="1:47" x14ac:dyDescent="0.25">
      <c r="B171" t="s">
        <v>1019</v>
      </c>
      <c r="C171" t="s">
        <v>112</v>
      </c>
      <c r="D171" t="s">
        <v>1020</v>
      </c>
      <c r="E171" t="s">
        <v>1021</v>
      </c>
      <c r="F171">
        <v>1</v>
      </c>
      <c r="G171" t="s">
        <v>1022</v>
      </c>
      <c r="H171" s="1">
        <v>45961</v>
      </c>
      <c r="I171" s="1">
        <v>45278</v>
      </c>
      <c r="J171" s="1">
        <v>45278</v>
      </c>
      <c r="K171" t="s">
        <v>47</v>
      </c>
      <c r="L171" t="s">
        <v>48</v>
      </c>
      <c r="M171" t="s">
        <v>47</v>
      </c>
      <c r="N171" s="1">
        <v>44678</v>
      </c>
      <c r="O171" s="1">
        <v>45278</v>
      </c>
      <c r="P171" t="s">
        <v>46</v>
      </c>
      <c r="Q171" t="s">
        <v>47</v>
      </c>
      <c r="R171" t="s">
        <v>47</v>
      </c>
      <c r="S171" t="s">
        <v>47</v>
      </c>
      <c r="T171" t="s">
        <v>67</v>
      </c>
      <c r="V171" t="s">
        <v>47</v>
      </c>
      <c r="W171" t="s">
        <v>50</v>
      </c>
      <c r="X171" s="1">
        <v>45310</v>
      </c>
      <c r="Y171" t="s">
        <v>51</v>
      </c>
      <c r="Z171" s="1">
        <v>46007</v>
      </c>
      <c r="AA171" t="s">
        <v>50</v>
      </c>
      <c r="AB171" t="s">
        <v>52</v>
      </c>
      <c r="AC171" s="2">
        <v>0.15</v>
      </c>
      <c r="AD171" t="s">
        <v>53</v>
      </c>
      <c r="AE171" t="s">
        <v>1023</v>
      </c>
      <c r="AG171" t="s">
        <v>1024</v>
      </c>
      <c r="AI171">
        <v>39260</v>
      </c>
      <c r="AJ171" t="s">
        <v>87</v>
      </c>
      <c r="AK171" t="s">
        <v>88</v>
      </c>
      <c r="AL171" t="s">
        <v>59</v>
      </c>
      <c r="AM171" t="s">
        <v>98</v>
      </c>
      <c r="AN171" t="s">
        <v>61</v>
      </c>
      <c r="AO171" t="s">
        <v>62</v>
      </c>
      <c r="AQ171" t="str">
        <f t="shared" si="6"/>
        <v>3 Rue du Jura, Moirans-en-Montagne, , 39260, France</v>
      </c>
      <c r="AR171" t="str">
        <f t="shared" si="7"/>
        <v>French Client</v>
      </c>
      <c r="AS171" t="s">
        <v>112</v>
      </c>
      <c r="AT171">
        <v>14922</v>
      </c>
      <c r="AU171" t="str">
        <f t="shared" si="8"/>
        <v>Medium Client</v>
      </c>
    </row>
    <row r="172" spans="1:47" x14ac:dyDescent="0.25">
      <c r="B172" t="s">
        <v>1025</v>
      </c>
      <c r="C172" t="s">
        <v>64</v>
      </c>
      <c r="D172" t="s">
        <v>1026</v>
      </c>
      <c r="E172" t="s">
        <v>1027</v>
      </c>
      <c r="F172">
        <v>1</v>
      </c>
      <c r="G172" t="s">
        <v>46</v>
      </c>
      <c r="H172" s="1">
        <v>44901</v>
      </c>
      <c r="I172" s="1">
        <v>44876</v>
      </c>
      <c r="J172" s="1">
        <v>44876</v>
      </c>
      <c r="K172" t="s">
        <v>47</v>
      </c>
      <c r="L172" t="s">
        <v>48</v>
      </c>
      <c r="M172" t="s">
        <v>47</v>
      </c>
      <c r="N172" s="1">
        <v>44872</v>
      </c>
      <c r="O172" s="1">
        <v>44876</v>
      </c>
      <c r="P172" t="s">
        <v>46</v>
      </c>
      <c r="Q172" t="s">
        <v>47</v>
      </c>
      <c r="R172" t="s">
        <v>47</v>
      </c>
      <c r="S172" t="s">
        <v>47</v>
      </c>
      <c r="V172" t="s">
        <v>47</v>
      </c>
      <c r="W172" t="s">
        <v>50</v>
      </c>
      <c r="X172" s="1">
        <v>44913</v>
      </c>
      <c r="Y172" t="s">
        <v>51</v>
      </c>
      <c r="Z172" s="1">
        <v>46007</v>
      </c>
      <c r="AA172" t="s">
        <v>50</v>
      </c>
      <c r="AB172" t="s">
        <v>52</v>
      </c>
      <c r="AC172" s="2">
        <v>0.15</v>
      </c>
      <c r="AD172" t="s">
        <v>53</v>
      </c>
      <c r="AE172" t="s">
        <v>1028</v>
      </c>
      <c r="AG172" t="s">
        <v>1029</v>
      </c>
      <c r="AI172">
        <v>42460</v>
      </c>
      <c r="AJ172" t="s">
        <v>87</v>
      </c>
      <c r="AK172" t="s">
        <v>88</v>
      </c>
      <c r="AL172" t="s">
        <v>59</v>
      </c>
      <c r="AM172" t="s">
        <v>60</v>
      </c>
      <c r="AN172" t="s">
        <v>61</v>
      </c>
      <c r="AO172" t="s">
        <v>62</v>
      </c>
      <c r="AQ172" t="str">
        <f t="shared" si="6"/>
        <v>335, chemin des Ã©rables, Le Cergne, , 42460, France</v>
      </c>
      <c r="AR172" t="str">
        <f t="shared" si="7"/>
        <v>French Client</v>
      </c>
      <c r="AS172" t="s">
        <v>64</v>
      </c>
      <c r="AT172">
        <v>116280</v>
      </c>
      <c r="AU172" t="str">
        <f t="shared" si="8"/>
        <v>High Client</v>
      </c>
    </row>
    <row r="173" spans="1:47" x14ac:dyDescent="0.25">
      <c r="B173" t="s">
        <v>1030</v>
      </c>
      <c r="C173" t="s">
        <v>112</v>
      </c>
      <c r="D173" t="s">
        <v>1031</v>
      </c>
      <c r="E173" t="s">
        <v>156</v>
      </c>
      <c r="F173">
        <v>1</v>
      </c>
      <c r="G173" t="s">
        <v>49</v>
      </c>
      <c r="H173" t="s">
        <v>47</v>
      </c>
      <c r="I173" s="1">
        <v>45978</v>
      </c>
      <c r="J173" s="1">
        <v>45978</v>
      </c>
      <c r="K173" s="1">
        <v>45985</v>
      </c>
      <c r="L173" t="s">
        <v>48</v>
      </c>
      <c r="M173" t="s">
        <v>47</v>
      </c>
      <c r="N173" s="1">
        <v>44844</v>
      </c>
      <c r="O173" s="1">
        <v>45978</v>
      </c>
      <c r="P173" t="s">
        <v>46</v>
      </c>
      <c r="Q173" t="s">
        <v>47</v>
      </c>
      <c r="R173" t="s">
        <v>47</v>
      </c>
      <c r="S173" t="s">
        <v>47</v>
      </c>
      <c r="V173" t="s">
        <v>47</v>
      </c>
      <c r="W173" t="s">
        <v>50</v>
      </c>
      <c r="X173" s="1">
        <v>45985</v>
      </c>
      <c r="Y173" t="s">
        <v>51</v>
      </c>
      <c r="Z173" s="1">
        <v>46007</v>
      </c>
      <c r="AA173" t="s">
        <v>50</v>
      </c>
      <c r="AB173" t="s">
        <v>52</v>
      </c>
      <c r="AC173" s="2">
        <v>0.15</v>
      </c>
      <c r="AD173" t="s">
        <v>53</v>
      </c>
      <c r="AE173" t="s">
        <v>1032</v>
      </c>
      <c r="AG173" t="s">
        <v>1033</v>
      </c>
      <c r="AI173">
        <v>14330</v>
      </c>
      <c r="AJ173" t="s">
        <v>87</v>
      </c>
      <c r="AK173" t="s">
        <v>88</v>
      </c>
      <c r="AL173" t="s">
        <v>59</v>
      </c>
      <c r="AM173" t="s">
        <v>60</v>
      </c>
      <c r="AN173" t="s">
        <v>61</v>
      </c>
      <c r="AO173" t="s">
        <v>62</v>
      </c>
      <c r="AQ173" t="str">
        <f t="shared" si="6"/>
        <v>7 Rue de Bayeux, Le Molay-Littry, , 14330, France</v>
      </c>
      <c r="AR173" t="str">
        <f t="shared" si="7"/>
        <v>French Client</v>
      </c>
      <c r="AS173" t="s">
        <v>112</v>
      </c>
      <c r="AT173">
        <v>21120</v>
      </c>
      <c r="AU173" t="str">
        <f t="shared" si="8"/>
        <v>Medium Client</v>
      </c>
    </row>
    <row r="174" spans="1:47" x14ac:dyDescent="0.25">
      <c r="B174" t="s">
        <v>1034</v>
      </c>
      <c r="C174" t="s">
        <v>112</v>
      </c>
      <c r="D174" t="s">
        <v>1035</v>
      </c>
      <c r="E174" t="s">
        <v>1036</v>
      </c>
      <c r="F174">
        <v>2</v>
      </c>
      <c r="G174" t="s">
        <v>46</v>
      </c>
      <c r="H174" s="1">
        <v>45645</v>
      </c>
      <c r="I174" s="1">
        <v>45645</v>
      </c>
      <c r="J174" s="1">
        <v>45618</v>
      </c>
      <c r="K174" t="s">
        <v>47</v>
      </c>
      <c r="L174" t="s">
        <v>48</v>
      </c>
      <c r="M174" t="s">
        <v>47</v>
      </c>
      <c r="N174" s="1">
        <v>44583</v>
      </c>
      <c r="O174" s="1">
        <v>45618</v>
      </c>
      <c r="P174" t="s">
        <v>46</v>
      </c>
      <c r="Q174" t="s">
        <v>47</v>
      </c>
      <c r="R174" t="s">
        <v>47</v>
      </c>
      <c r="S174" t="s">
        <v>47</v>
      </c>
      <c r="V174" t="s">
        <v>47</v>
      </c>
      <c r="W174" t="s">
        <v>50</v>
      </c>
      <c r="X174" s="1">
        <v>45673</v>
      </c>
      <c r="Y174" t="s">
        <v>51</v>
      </c>
      <c r="Z174" s="1">
        <v>46007</v>
      </c>
      <c r="AA174" t="s">
        <v>50</v>
      </c>
      <c r="AB174" t="s">
        <v>52</v>
      </c>
      <c r="AC174" s="2">
        <v>0.15</v>
      </c>
      <c r="AD174" t="s">
        <v>53</v>
      </c>
      <c r="AE174" t="s">
        <v>1037</v>
      </c>
      <c r="AG174" t="s">
        <v>1038</v>
      </c>
      <c r="AI174">
        <v>67600</v>
      </c>
      <c r="AJ174" t="s">
        <v>87</v>
      </c>
      <c r="AK174" t="s">
        <v>88</v>
      </c>
      <c r="AL174" t="s">
        <v>59</v>
      </c>
      <c r="AM174" t="s">
        <v>60</v>
      </c>
      <c r="AN174" t="s">
        <v>61</v>
      </c>
      <c r="AO174" t="s">
        <v>62</v>
      </c>
      <c r="AQ174" t="str">
        <f t="shared" si="6"/>
        <v>8 Place du MarchÃ© Vert, SÃ©lestat, , 67600, France</v>
      </c>
      <c r="AR174" t="str">
        <f t="shared" si="7"/>
        <v>French Client</v>
      </c>
      <c r="AS174" t="s">
        <v>112</v>
      </c>
      <c r="AT174">
        <v>29904</v>
      </c>
      <c r="AU174" t="str">
        <f t="shared" si="8"/>
        <v>Medium Client</v>
      </c>
    </row>
    <row r="175" spans="1:47" x14ac:dyDescent="0.25">
      <c r="B175" t="s">
        <v>1039</v>
      </c>
      <c r="C175" t="s">
        <v>112</v>
      </c>
      <c r="D175" t="s">
        <v>1040</v>
      </c>
      <c r="E175" t="s">
        <v>415</v>
      </c>
      <c r="F175">
        <v>1</v>
      </c>
      <c r="G175" t="s">
        <v>49</v>
      </c>
      <c r="H175" t="s">
        <v>47</v>
      </c>
      <c r="I175" s="1">
        <v>45581</v>
      </c>
      <c r="J175" s="1">
        <v>45581</v>
      </c>
      <c r="K175" t="s">
        <v>47</v>
      </c>
      <c r="L175" t="s">
        <v>48</v>
      </c>
      <c r="M175" t="s">
        <v>47</v>
      </c>
      <c r="N175" s="1">
        <v>45561</v>
      </c>
      <c r="O175" s="1">
        <v>45581</v>
      </c>
      <c r="P175" t="s">
        <v>646</v>
      </c>
      <c r="Q175" t="s">
        <v>47</v>
      </c>
      <c r="R175" t="s">
        <v>47</v>
      </c>
      <c r="S175" t="s">
        <v>47</v>
      </c>
      <c r="V175" t="s">
        <v>47</v>
      </c>
      <c r="W175" t="s">
        <v>50</v>
      </c>
      <c r="X175" s="1">
        <v>45587</v>
      </c>
      <c r="Y175" t="s">
        <v>51</v>
      </c>
      <c r="Z175" s="1">
        <v>46007</v>
      </c>
      <c r="AA175" t="s">
        <v>50</v>
      </c>
      <c r="AB175" t="s">
        <v>52</v>
      </c>
      <c r="AC175" s="2">
        <v>0.15</v>
      </c>
      <c r="AD175" t="s">
        <v>53</v>
      </c>
      <c r="AE175" t="s">
        <v>1041</v>
      </c>
      <c r="AG175" t="s">
        <v>1042</v>
      </c>
      <c r="AI175">
        <v>2014</v>
      </c>
      <c r="AJ175" t="s">
        <v>649</v>
      </c>
      <c r="AK175" t="s">
        <v>88</v>
      </c>
      <c r="AL175" t="s">
        <v>137</v>
      </c>
      <c r="AM175" t="s">
        <v>60</v>
      </c>
      <c r="AN175" t="s">
        <v>61</v>
      </c>
      <c r="AO175" t="s">
        <v>62</v>
      </c>
      <c r="AQ175" t="str">
        <f t="shared" si="6"/>
        <v>10 Rue de la Gare, Milvignes, , 2014, Suisse</v>
      </c>
      <c r="AR175" t="str">
        <f t="shared" si="7"/>
        <v>International Client</v>
      </c>
      <c r="AS175" t="s">
        <v>112</v>
      </c>
      <c r="AT175">
        <v>15960</v>
      </c>
      <c r="AU175" t="str">
        <f t="shared" si="8"/>
        <v>Medium Client</v>
      </c>
    </row>
    <row r="176" spans="1:47" x14ac:dyDescent="0.25">
      <c r="B176" t="s">
        <v>1043</v>
      </c>
      <c r="C176" t="s">
        <v>64</v>
      </c>
      <c r="D176" t="s">
        <v>1044</v>
      </c>
      <c r="E176" t="s">
        <v>1045</v>
      </c>
      <c r="F176">
        <v>1</v>
      </c>
      <c r="G176" t="s">
        <v>1046</v>
      </c>
      <c r="H176" s="1">
        <v>46002</v>
      </c>
      <c r="I176" s="1">
        <v>45975</v>
      </c>
      <c r="J176" s="1">
        <v>45975</v>
      </c>
      <c r="K176" s="1">
        <v>45985</v>
      </c>
      <c r="L176" t="s">
        <v>48</v>
      </c>
      <c r="M176" t="s">
        <v>47</v>
      </c>
      <c r="N176" s="1">
        <v>44328</v>
      </c>
      <c r="O176" s="1">
        <v>45975</v>
      </c>
      <c r="P176" t="s">
        <v>46</v>
      </c>
      <c r="Q176" t="s">
        <v>47</v>
      </c>
      <c r="R176" t="s">
        <v>47</v>
      </c>
      <c r="S176" t="s">
        <v>47</v>
      </c>
      <c r="V176" t="s">
        <v>47</v>
      </c>
      <c r="W176" t="s">
        <v>50</v>
      </c>
      <c r="X176" s="1">
        <v>45985</v>
      </c>
      <c r="Y176" t="s">
        <v>51</v>
      </c>
      <c r="Z176" s="1">
        <v>46007</v>
      </c>
      <c r="AA176" t="s">
        <v>50</v>
      </c>
      <c r="AB176" t="s">
        <v>52</v>
      </c>
      <c r="AC176" s="2">
        <v>0.15</v>
      </c>
      <c r="AD176" t="s">
        <v>53</v>
      </c>
      <c r="AE176" t="s">
        <v>1047</v>
      </c>
      <c r="AG176" t="s">
        <v>1048</v>
      </c>
      <c r="AI176">
        <v>41600</v>
      </c>
      <c r="AJ176" t="s">
        <v>87</v>
      </c>
      <c r="AK176" t="s">
        <v>88</v>
      </c>
      <c r="AL176" t="s">
        <v>59</v>
      </c>
      <c r="AM176" t="s">
        <v>60</v>
      </c>
      <c r="AN176" t="s">
        <v>61</v>
      </c>
      <c r="AO176" t="s">
        <v>62</v>
      </c>
      <c r="AQ176" t="str">
        <f t="shared" si="6"/>
        <v>26 Rue du Baron Blanquet, Lamotte-Beuvron, , 41600, France</v>
      </c>
      <c r="AR176" t="str">
        <f t="shared" si="7"/>
        <v>French Client</v>
      </c>
      <c r="AS176" t="s">
        <v>64</v>
      </c>
      <c r="AT176">
        <v>31680</v>
      </c>
      <c r="AU176" t="str">
        <f t="shared" si="8"/>
        <v>Medium Client</v>
      </c>
    </row>
    <row r="177" spans="1:47" x14ac:dyDescent="0.25">
      <c r="B177" t="s">
        <v>1049</v>
      </c>
      <c r="C177" t="s">
        <v>64</v>
      </c>
      <c r="D177" t="s">
        <v>1050</v>
      </c>
      <c r="E177" t="s">
        <v>1051</v>
      </c>
      <c r="F177">
        <v>1</v>
      </c>
      <c r="G177" t="s">
        <v>49</v>
      </c>
      <c r="H177" t="s">
        <v>47</v>
      </c>
      <c r="I177" s="1">
        <v>45686</v>
      </c>
      <c r="J177" s="1">
        <v>45686</v>
      </c>
      <c r="K177" t="s">
        <v>47</v>
      </c>
      <c r="L177" t="s">
        <v>48</v>
      </c>
      <c r="M177" t="s">
        <v>47</v>
      </c>
      <c r="N177" s="1">
        <v>45671</v>
      </c>
      <c r="O177" s="1">
        <v>45686</v>
      </c>
      <c r="P177" t="s">
        <v>46</v>
      </c>
      <c r="Q177" t="s">
        <v>47</v>
      </c>
      <c r="R177" t="s">
        <v>47</v>
      </c>
      <c r="S177" t="s">
        <v>47</v>
      </c>
      <c r="V177" t="s">
        <v>47</v>
      </c>
      <c r="W177" t="s">
        <v>50</v>
      </c>
      <c r="X177" s="1">
        <v>45694</v>
      </c>
      <c r="Y177" t="s">
        <v>51</v>
      </c>
      <c r="Z177" s="1">
        <v>46007</v>
      </c>
      <c r="AA177" t="s">
        <v>50</v>
      </c>
      <c r="AB177" t="s">
        <v>52</v>
      </c>
      <c r="AC177" s="2">
        <v>0.15</v>
      </c>
      <c r="AD177" t="s">
        <v>53</v>
      </c>
      <c r="AE177" t="s">
        <v>1052</v>
      </c>
      <c r="AG177" t="s">
        <v>1053</v>
      </c>
      <c r="AI177">
        <v>30000</v>
      </c>
      <c r="AJ177" t="s">
        <v>87</v>
      </c>
      <c r="AK177" t="s">
        <v>88</v>
      </c>
      <c r="AL177" t="s">
        <v>59</v>
      </c>
      <c r="AM177" t="s">
        <v>60</v>
      </c>
      <c r="AN177" t="s">
        <v>61</v>
      </c>
      <c r="AO177" t="s">
        <v>62</v>
      </c>
      <c r="AQ177" t="str">
        <f t="shared" si="6"/>
        <v>17 Avenue du GÃ©nÃ©ral Leclerc, NÃ®mes, , 30000, France</v>
      </c>
      <c r="AR177" t="str">
        <f t="shared" si="7"/>
        <v>French Client</v>
      </c>
      <c r="AS177" t="s">
        <v>64</v>
      </c>
      <c r="AT177">
        <v>24696</v>
      </c>
      <c r="AU177" t="str">
        <f t="shared" si="8"/>
        <v>Medium Client</v>
      </c>
    </row>
    <row r="178" spans="1:47" x14ac:dyDescent="0.25">
      <c r="B178" t="s">
        <v>1054</v>
      </c>
      <c r="C178" t="s">
        <v>64</v>
      </c>
      <c r="D178" t="s">
        <v>1055</v>
      </c>
      <c r="E178" t="s">
        <v>1056</v>
      </c>
      <c r="F178">
        <v>2</v>
      </c>
      <c r="G178" t="s">
        <v>46</v>
      </c>
      <c r="H178" s="1">
        <v>45881</v>
      </c>
      <c r="I178" s="1">
        <v>45881</v>
      </c>
      <c r="J178" s="1">
        <v>45873</v>
      </c>
      <c r="K178" s="1">
        <v>45881</v>
      </c>
      <c r="L178" t="s">
        <v>48</v>
      </c>
      <c r="M178" t="s">
        <v>47</v>
      </c>
      <c r="N178" s="1">
        <v>45872</v>
      </c>
      <c r="O178" s="1">
        <v>45873</v>
      </c>
      <c r="P178" t="s">
        <v>46</v>
      </c>
      <c r="Q178" t="s">
        <v>47</v>
      </c>
      <c r="R178" t="s">
        <v>47</v>
      </c>
      <c r="S178" t="s">
        <v>47</v>
      </c>
      <c r="T178" t="s">
        <v>67</v>
      </c>
      <c r="V178" t="s">
        <v>47</v>
      </c>
      <c r="W178" t="s">
        <v>50</v>
      </c>
      <c r="X178" s="1">
        <v>45889</v>
      </c>
      <c r="Y178" t="s">
        <v>51</v>
      </c>
      <c r="Z178" s="1">
        <v>46007</v>
      </c>
      <c r="AA178" t="s">
        <v>50</v>
      </c>
      <c r="AB178" t="s">
        <v>52</v>
      </c>
      <c r="AC178" s="2">
        <v>0.15</v>
      </c>
      <c r="AD178" t="s">
        <v>53</v>
      </c>
      <c r="AE178" t="s">
        <v>1057</v>
      </c>
      <c r="AG178" t="s">
        <v>1058</v>
      </c>
      <c r="AI178">
        <v>93140</v>
      </c>
      <c r="AJ178" t="s">
        <v>87</v>
      </c>
      <c r="AK178" t="s">
        <v>88</v>
      </c>
      <c r="AL178" t="s">
        <v>59</v>
      </c>
      <c r="AM178" t="s">
        <v>60</v>
      </c>
      <c r="AN178" t="s">
        <v>61</v>
      </c>
      <c r="AO178" t="s">
        <v>62</v>
      </c>
      <c r="AQ178" t="str">
        <f t="shared" si="6"/>
        <v>36 RUE ROGER SALENGRO, BONDY, , 93140, France</v>
      </c>
      <c r="AR178" t="str">
        <f t="shared" si="7"/>
        <v>French Client</v>
      </c>
      <c r="AS178" t="s">
        <v>64</v>
      </c>
      <c r="AT178">
        <v>29800</v>
      </c>
      <c r="AU178" t="str">
        <f t="shared" si="8"/>
        <v>Medium Client</v>
      </c>
    </row>
    <row r="179" spans="1:47" x14ac:dyDescent="0.25">
      <c r="B179" t="s">
        <v>1059</v>
      </c>
      <c r="C179" t="s">
        <v>64</v>
      </c>
      <c r="D179" t="s">
        <v>1060</v>
      </c>
      <c r="E179" t="s">
        <v>172</v>
      </c>
      <c r="F179">
        <v>1</v>
      </c>
      <c r="G179" t="s">
        <v>49</v>
      </c>
      <c r="H179" t="s">
        <v>47</v>
      </c>
      <c r="I179" s="1">
        <v>45977</v>
      </c>
      <c r="J179" s="1">
        <v>45977</v>
      </c>
      <c r="K179" s="1">
        <v>45986</v>
      </c>
      <c r="L179" t="s">
        <v>48</v>
      </c>
      <c r="M179" t="s">
        <v>47</v>
      </c>
      <c r="N179" s="1">
        <v>44871</v>
      </c>
      <c r="O179" s="1">
        <v>45977</v>
      </c>
      <c r="P179" t="s">
        <v>46</v>
      </c>
      <c r="Q179" t="s">
        <v>47</v>
      </c>
      <c r="R179" t="s">
        <v>47</v>
      </c>
      <c r="S179" t="s">
        <v>47</v>
      </c>
      <c r="V179" t="s">
        <v>47</v>
      </c>
      <c r="W179" t="s">
        <v>50</v>
      </c>
      <c r="X179" s="1">
        <v>45986</v>
      </c>
      <c r="Y179" t="s">
        <v>51</v>
      </c>
      <c r="Z179" s="1">
        <v>46007</v>
      </c>
      <c r="AA179" t="s">
        <v>50</v>
      </c>
      <c r="AB179" t="s">
        <v>52</v>
      </c>
      <c r="AC179" s="2">
        <v>0.15</v>
      </c>
      <c r="AD179" t="s">
        <v>53</v>
      </c>
      <c r="AE179" t="s">
        <v>1061</v>
      </c>
      <c r="AG179" t="s">
        <v>1062</v>
      </c>
      <c r="AI179">
        <v>37300</v>
      </c>
      <c r="AJ179" t="s">
        <v>87</v>
      </c>
      <c r="AK179" t="s">
        <v>88</v>
      </c>
      <c r="AL179" t="s">
        <v>59</v>
      </c>
      <c r="AM179" t="s">
        <v>60</v>
      </c>
      <c r="AN179" t="s">
        <v>61</v>
      </c>
      <c r="AO179" t="s">
        <v>62</v>
      </c>
      <c r="AQ179" t="str">
        <f t="shared" si="6"/>
        <v>3 Rue des Ribains, JouÃ©-lÃ¨s-Tours, , 37300, France</v>
      </c>
      <c r="AR179" t="str">
        <f t="shared" si="7"/>
        <v>French Client</v>
      </c>
      <c r="AS179" t="s">
        <v>64</v>
      </c>
      <c r="AT179">
        <v>15840</v>
      </c>
      <c r="AU179" t="str">
        <f t="shared" si="8"/>
        <v>Medium Client</v>
      </c>
    </row>
    <row r="180" spans="1:47" x14ac:dyDescent="0.25">
      <c r="B180" t="s">
        <v>1063</v>
      </c>
      <c r="C180" t="s">
        <v>75</v>
      </c>
      <c r="D180" t="s">
        <v>1064</v>
      </c>
      <c r="E180" t="s">
        <v>1065</v>
      </c>
      <c r="F180">
        <v>1</v>
      </c>
      <c r="G180" t="s">
        <v>46</v>
      </c>
      <c r="H180" t="s">
        <v>47</v>
      </c>
      <c r="I180" s="1">
        <v>45436</v>
      </c>
      <c r="J180" s="1">
        <v>45436</v>
      </c>
      <c r="K180" t="s">
        <v>47</v>
      </c>
      <c r="L180" t="s">
        <v>48</v>
      </c>
      <c r="M180" t="s">
        <v>47</v>
      </c>
      <c r="N180" s="1">
        <v>45429</v>
      </c>
      <c r="O180" s="1">
        <v>45436</v>
      </c>
      <c r="P180" t="s">
        <v>46</v>
      </c>
      <c r="Q180" t="s">
        <v>47</v>
      </c>
      <c r="R180" t="s">
        <v>47</v>
      </c>
      <c r="S180" t="s">
        <v>47</v>
      </c>
      <c r="V180" t="s">
        <v>47</v>
      </c>
      <c r="W180" t="s">
        <v>50</v>
      </c>
      <c r="X180" s="1">
        <v>45446</v>
      </c>
      <c r="Y180" t="s">
        <v>51</v>
      </c>
      <c r="Z180" s="1">
        <v>46007</v>
      </c>
      <c r="AA180" t="s">
        <v>50</v>
      </c>
      <c r="AB180" t="s">
        <v>52</v>
      </c>
      <c r="AC180" s="2">
        <v>0.15</v>
      </c>
      <c r="AD180" t="s">
        <v>53</v>
      </c>
      <c r="AE180" t="s">
        <v>1066</v>
      </c>
      <c r="AG180" t="s">
        <v>1067</v>
      </c>
      <c r="AI180">
        <v>5230</v>
      </c>
      <c r="AJ180" t="s">
        <v>1068</v>
      </c>
      <c r="AK180" t="s">
        <v>946</v>
      </c>
      <c r="AL180" t="s">
        <v>59</v>
      </c>
      <c r="AM180" t="s">
        <v>60</v>
      </c>
      <c r="AN180" t="s">
        <v>61</v>
      </c>
      <c r="AO180" t="s">
        <v>62</v>
      </c>
      <c r="AQ180" t="str">
        <f t="shared" si="6"/>
        <v>43 Stadtplatz, Mattighofen, , 5230, Autriche</v>
      </c>
      <c r="AR180" t="str">
        <f t="shared" si="7"/>
        <v>International Client</v>
      </c>
      <c r="AS180" t="s">
        <v>75</v>
      </c>
      <c r="AT180">
        <v>13002</v>
      </c>
      <c r="AU180" t="str">
        <f t="shared" si="8"/>
        <v>Medium Client</v>
      </c>
    </row>
    <row r="181" spans="1:47" x14ac:dyDescent="0.25">
      <c r="B181" t="s">
        <v>1069</v>
      </c>
      <c r="C181" t="s">
        <v>75</v>
      </c>
      <c r="D181" t="s">
        <v>1070</v>
      </c>
      <c r="E181" t="s">
        <v>1071</v>
      </c>
      <c r="F181">
        <v>1</v>
      </c>
      <c r="G181" t="s">
        <v>46</v>
      </c>
      <c r="H181" t="s">
        <v>47</v>
      </c>
      <c r="I181" s="1">
        <v>44670</v>
      </c>
      <c r="J181" s="1">
        <v>44670</v>
      </c>
      <c r="K181" t="s">
        <v>47</v>
      </c>
      <c r="L181" t="s">
        <v>48</v>
      </c>
      <c r="M181" t="s">
        <v>47</v>
      </c>
      <c r="N181" s="1">
        <v>44602</v>
      </c>
      <c r="O181" s="1">
        <v>44670</v>
      </c>
      <c r="P181" t="s">
        <v>46</v>
      </c>
      <c r="Q181" t="s">
        <v>47</v>
      </c>
      <c r="R181" t="s">
        <v>47</v>
      </c>
      <c r="S181" t="s">
        <v>47</v>
      </c>
      <c r="V181" t="s">
        <v>47</v>
      </c>
      <c r="W181" t="s">
        <v>50</v>
      </c>
      <c r="X181" s="1">
        <v>44703</v>
      </c>
      <c r="Y181" t="s">
        <v>51</v>
      </c>
      <c r="Z181" s="1">
        <v>46007</v>
      </c>
      <c r="AA181" t="s">
        <v>50</v>
      </c>
      <c r="AB181" t="s">
        <v>52</v>
      </c>
      <c r="AC181" s="2">
        <v>0.15</v>
      </c>
      <c r="AD181" t="s">
        <v>53</v>
      </c>
      <c r="AE181" t="s">
        <v>1072</v>
      </c>
      <c r="AF181" t="s">
        <v>1073</v>
      </c>
      <c r="AG181" t="s">
        <v>1074</v>
      </c>
      <c r="AI181">
        <v>65013</v>
      </c>
      <c r="AJ181" t="s">
        <v>96</v>
      </c>
      <c r="AK181" t="s">
        <v>97</v>
      </c>
      <c r="AL181" t="s">
        <v>59</v>
      </c>
      <c r="AM181" t="s">
        <v>60</v>
      </c>
      <c r="AN181" t="s">
        <v>61</v>
      </c>
      <c r="AO181" t="s">
        <v>62</v>
      </c>
      <c r="AQ181" t="str">
        <f t="shared" si="6"/>
        <v>Strada Lungofino, 187, CittÃ  Sant'Angelo, , 65013, Italie</v>
      </c>
      <c r="AR181" t="str">
        <f t="shared" si="7"/>
        <v>International Client</v>
      </c>
      <c r="AS181" t="s">
        <v>75</v>
      </c>
      <c r="AT181">
        <v>21696</v>
      </c>
      <c r="AU181" t="str">
        <f t="shared" si="8"/>
        <v>Medium Client</v>
      </c>
    </row>
    <row r="182" spans="1:47" x14ac:dyDescent="0.25">
      <c r="A182" t="s">
        <v>1075</v>
      </c>
      <c r="B182" t="s">
        <v>1076</v>
      </c>
      <c r="C182" t="s">
        <v>64</v>
      </c>
      <c r="D182" t="s">
        <v>1077</v>
      </c>
      <c r="E182" t="s">
        <v>1078</v>
      </c>
      <c r="F182">
        <v>1</v>
      </c>
      <c r="G182" t="s">
        <v>46</v>
      </c>
      <c r="H182" t="s">
        <v>47</v>
      </c>
      <c r="I182" s="1">
        <v>45879</v>
      </c>
      <c r="J182" s="1">
        <v>45879</v>
      </c>
      <c r="K182" s="1">
        <v>45887</v>
      </c>
      <c r="L182" t="s">
        <v>48</v>
      </c>
      <c r="M182" t="s">
        <v>47</v>
      </c>
      <c r="N182" s="1">
        <v>45612</v>
      </c>
      <c r="O182" s="1">
        <v>45873</v>
      </c>
      <c r="P182" t="s">
        <v>46</v>
      </c>
      <c r="Q182" s="1">
        <v>45880</v>
      </c>
      <c r="R182" t="s">
        <v>47</v>
      </c>
      <c r="S182" s="1">
        <v>46244</v>
      </c>
      <c r="T182" t="s">
        <v>487</v>
      </c>
      <c r="V182" t="s">
        <v>47</v>
      </c>
      <c r="W182" t="s">
        <v>116</v>
      </c>
      <c r="X182" s="1">
        <v>45887</v>
      </c>
      <c r="Y182" t="s">
        <v>51</v>
      </c>
      <c r="Z182" s="1">
        <v>46007</v>
      </c>
      <c r="AA182" t="s">
        <v>117</v>
      </c>
      <c r="AB182" t="s">
        <v>52</v>
      </c>
      <c r="AC182" s="2">
        <v>0</v>
      </c>
      <c r="AD182" t="s">
        <v>488</v>
      </c>
      <c r="AE182" t="s">
        <v>1079</v>
      </c>
      <c r="AG182" t="s">
        <v>1080</v>
      </c>
      <c r="AI182">
        <v>29400</v>
      </c>
      <c r="AJ182" t="s">
        <v>87</v>
      </c>
      <c r="AK182" t="s">
        <v>88</v>
      </c>
      <c r="AL182" t="s">
        <v>59</v>
      </c>
      <c r="AM182" t="s">
        <v>60</v>
      </c>
      <c r="AN182" t="s">
        <v>61</v>
      </c>
      <c r="AO182" t="s">
        <v>62</v>
      </c>
      <c r="AQ182" t="str">
        <f t="shared" si="6"/>
        <v>5 Venelle du Patronage, Plougourvest, , 29400, France</v>
      </c>
      <c r="AR182" t="str">
        <f t="shared" si="7"/>
        <v>French Client</v>
      </c>
      <c r="AS182" t="s">
        <v>64</v>
      </c>
      <c r="AT182">
        <v>15780</v>
      </c>
      <c r="AU182" t="str">
        <f t="shared" si="8"/>
        <v>Medium Client</v>
      </c>
    </row>
    <row r="183" spans="1:47" x14ac:dyDescent="0.25">
      <c r="B183" t="s">
        <v>1081</v>
      </c>
      <c r="C183" t="s">
        <v>64</v>
      </c>
      <c r="D183" t="s">
        <v>1082</v>
      </c>
      <c r="E183" t="s">
        <v>1083</v>
      </c>
      <c r="F183">
        <v>1</v>
      </c>
      <c r="G183" t="s">
        <v>49</v>
      </c>
      <c r="H183" t="s">
        <v>47</v>
      </c>
      <c r="I183" s="1">
        <v>45595</v>
      </c>
      <c r="J183" s="1">
        <v>45595</v>
      </c>
      <c r="K183" t="s">
        <v>47</v>
      </c>
      <c r="L183" t="s">
        <v>48</v>
      </c>
      <c r="M183" t="s">
        <v>47</v>
      </c>
      <c r="N183" s="1">
        <v>44404</v>
      </c>
      <c r="O183" s="1">
        <v>45595</v>
      </c>
      <c r="P183" t="s">
        <v>46</v>
      </c>
      <c r="Q183" t="s">
        <v>47</v>
      </c>
      <c r="R183" t="s">
        <v>47</v>
      </c>
      <c r="S183" t="s">
        <v>47</v>
      </c>
      <c r="T183" t="s">
        <v>67</v>
      </c>
      <c r="V183" t="s">
        <v>47</v>
      </c>
      <c r="W183" t="s">
        <v>50</v>
      </c>
      <c r="X183" s="1">
        <v>45615</v>
      </c>
      <c r="Y183" t="s">
        <v>51</v>
      </c>
      <c r="Z183" s="1">
        <v>46007</v>
      </c>
      <c r="AA183" t="s">
        <v>50</v>
      </c>
      <c r="AB183" t="s">
        <v>52</v>
      </c>
      <c r="AC183" s="2">
        <v>0.15</v>
      </c>
      <c r="AD183" t="s">
        <v>53</v>
      </c>
      <c r="AE183" t="s">
        <v>1084</v>
      </c>
      <c r="AG183" t="s">
        <v>1085</v>
      </c>
      <c r="AI183">
        <v>80000</v>
      </c>
      <c r="AJ183" t="s">
        <v>87</v>
      </c>
      <c r="AK183" t="s">
        <v>88</v>
      </c>
      <c r="AL183" t="s">
        <v>59</v>
      </c>
      <c r="AM183" t="s">
        <v>60</v>
      </c>
      <c r="AN183" t="s">
        <v>61</v>
      </c>
      <c r="AO183" t="s">
        <v>62</v>
      </c>
      <c r="AQ183" t="str">
        <f t="shared" si="6"/>
        <v>34 Rue Saint-Fuscien, Amiens, , 80000, France</v>
      </c>
      <c r="AR183" t="str">
        <f t="shared" si="7"/>
        <v>French Client</v>
      </c>
      <c r="AS183" t="s">
        <v>64</v>
      </c>
      <c r="AT183">
        <v>36684</v>
      </c>
      <c r="AU183" t="str">
        <f t="shared" si="8"/>
        <v>Medium Client</v>
      </c>
    </row>
    <row r="184" spans="1:47" x14ac:dyDescent="0.25">
      <c r="B184" t="s">
        <v>1086</v>
      </c>
      <c r="C184" t="s">
        <v>64</v>
      </c>
      <c r="D184" t="s">
        <v>1087</v>
      </c>
      <c r="E184" t="s">
        <v>1088</v>
      </c>
      <c r="F184">
        <v>1</v>
      </c>
      <c r="G184" t="s">
        <v>49</v>
      </c>
      <c r="H184" t="s">
        <v>47</v>
      </c>
      <c r="I184" s="1">
        <v>45959</v>
      </c>
      <c r="J184" s="1">
        <v>45959</v>
      </c>
      <c r="K184" s="1">
        <v>45968</v>
      </c>
      <c r="L184" t="s">
        <v>48</v>
      </c>
      <c r="M184" t="s">
        <v>47</v>
      </c>
      <c r="N184" s="1">
        <v>45248</v>
      </c>
      <c r="O184" s="1">
        <v>45959</v>
      </c>
      <c r="P184" t="s">
        <v>46</v>
      </c>
      <c r="Q184" t="s">
        <v>47</v>
      </c>
      <c r="R184" t="s">
        <v>47</v>
      </c>
      <c r="S184" t="s">
        <v>47</v>
      </c>
      <c r="V184" t="s">
        <v>47</v>
      </c>
      <c r="W184" t="s">
        <v>50</v>
      </c>
      <c r="X184" s="1">
        <v>45968</v>
      </c>
      <c r="Y184" t="s">
        <v>51</v>
      </c>
      <c r="Z184" s="1">
        <v>46007</v>
      </c>
      <c r="AA184" t="s">
        <v>50</v>
      </c>
      <c r="AB184" t="s">
        <v>52</v>
      </c>
      <c r="AC184" s="2">
        <v>0.15</v>
      </c>
      <c r="AD184" t="s">
        <v>53</v>
      </c>
      <c r="AE184" t="s">
        <v>1089</v>
      </c>
      <c r="AG184" t="s">
        <v>1090</v>
      </c>
      <c r="AI184">
        <v>79440</v>
      </c>
      <c r="AJ184" t="s">
        <v>87</v>
      </c>
      <c r="AK184" t="s">
        <v>88</v>
      </c>
      <c r="AL184" t="s">
        <v>59</v>
      </c>
      <c r="AM184" t="s">
        <v>60</v>
      </c>
      <c r="AN184" t="s">
        <v>61</v>
      </c>
      <c r="AO184" t="s">
        <v>62</v>
      </c>
      <c r="AQ184" t="str">
        <f t="shared" si="6"/>
        <v>4ter Rue Des Tisserands, Courlay, , 79440, France</v>
      </c>
      <c r="AR184" t="str">
        <f t="shared" si="7"/>
        <v>French Client</v>
      </c>
      <c r="AS184" t="s">
        <v>64</v>
      </c>
      <c r="AT184">
        <v>53280</v>
      </c>
      <c r="AU184" t="str">
        <f t="shared" si="8"/>
        <v>High Client</v>
      </c>
    </row>
    <row r="185" spans="1:47" x14ac:dyDescent="0.25">
      <c r="B185" t="s">
        <v>1091</v>
      </c>
      <c r="C185" t="s">
        <v>64</v>
      </c>
      <c r="D185" t="s">
        <v>1092</v>
      </c>
      <c r="E185" t="s">
        <v>1093</v>
      </c>
      <c r="F185">
        <v>1</v>
      </c>
      <c r="G185" t="s">
        <v>49</v>
      </c>
      <c r="H185" t="s">
        <v>47</v>
      </c>
      <c r="I185" s="1">
        <v>45984</v>
      </c>
      <c r="J185" s="1">
        <v>45984</v>
      </c>
      <c r="K185" s="1">
        <v>45989</v>
      </c>
      <c r="L185" t="s">
        <v>48</v>
      </c>
      <c r="M185" t="s">
        <v>47</v>
      </c>
      <c r="N185" s="1">
        <v>45917</v>
      </c>
      <c r="O185" s="1">
        <v>45984</v>
      </c>
      <c r="P185" t="s">
        <v>46</v>
      </c>
      <c r="Q185" t="s">
        <v>47</v>
      </c>
      <c r="R185" t="s">
        <v>47</v>
      </c>
      <c r="S185" t="s">
        <v>47</v>
      </c>
      <c r="V185" t="s">
        <v>47</v>
      </c>
      <c r="W185" t="s">
        <v>50</v>
      </c>
      <c r="X185" s="1">
        <v>45989</v>
      </c>
      <c r="Y185" t="s">
        <v>51</v>
      </c>
      <c r="Z185" s="1">
        <v>46007</v>
      </c>
      <c r="AA185" t="s">
        <v>50</v>
      </c>
      <c r="AB185" t="s">
        <v>52</v>
      </c>
      <c r="AC185" s="2">
        <v>0.15</v>
      </c>
      <c r="AD185" t="s">
        <v>53</v>
      </c>
      <c r="AE185" t="s">
        <v>1094</v>
      </c>
      <c r="AG185" t="s">
        <v>1095</v>
      </c>
      <c r="AI185">
        <v>43510</v>
      </c>
      <c r="AJ185" t="s">
        <v>87</v>
      </c>
      <c r="AK185" t="s">
        <v>88</v>
      </c>
      <c r="AL185" t="s">
        <v>59</v>
      </c>
      <c r="AM185" t="s">
        <v>60</v>
      </c>
      <c r="AN185" t="s">
        <v>61</v>
      </c>
      <c r="AO185" t="s">
        <v>62</v>
      </c>
      <c r="AQ185" t="str">
        <f t="shared" si="6"/>
        <v>6 lotissement la condamine, Cayres, , 43510, France</v>
      </c>
      <c r="AR185" t="str">
        <f t="shared" si="7"/>
        <v>French Client</v>
      </c>
      <c r="AS185" t="s">
        <v>64</v>
      </c>
      <c r="AT185">
        <v>18480</v>
      </c>
      <c r="AU185" t="str">
        <f t="shared" si="8"/>
        <v>Medium Client</v>
      </c>
    </row>
    <row r="186" spans="1:47" x14ac:dyDescent="0.25">
      <c r="B186" t="s">
        <v>1096</v>
      </c>
      <c r="C186" t="s">
        <v>64</v>
      </c>
      <c r="D186" t="s">
        <v>1097</v>
      </c>
      <c r="E186" t="s">
        <v>1098</v>
      </c>
      <c r="F186">
        <v>1</v>
      </c>
      <c r="G186" t="s">
        <v>1099</v>
      </c>
      <c r="H186" s="1">
        <v>45869</v>
      </c>
      <c r="I186" s="1">
        <v>45749</v>
      </c>
      <c r="J186" s="1">
        <v>45749</v>
      </c>
      <c r="K186" t="s">
        <v>47</v>
      </c>
      <c r="L186" t="s">
        <v>48</v>
      </c>
      <c r="M186" t="s">
        <v>47</v>
      </c>
      <c r="N186" s="1">
        <v>45743</v>
      </c>
      <c r="O186" s="1">
        <v>45749</v>
      </c>
      <c r="P186" t="s">
        <v>46</v>
      </c>
      <c r="Q186" t="s">
        <v>47</v>
      </c>
      <c r="R186" t="s">
        <v>47</v>
      </c>
      <c r="S186" t="s">
        <v>47</v>
      </c>
      <c r="V186" t="s">
        <v>47</v>
      </c>
      <c r="W186" t="s">
        <v>50</v>
      </c>
      <c r="X186" s="1">
        <v>45758</v>
      </c>
      <c r="Y186" t="s">
        <v>51</v>
      </c>
      <c r="Z186" s="1">
        <v>46007</v>
      </c>
      <c r="AA186" t="s">
        <v>50</v>
      </c>
      <c r="AB186" t="s">
        <v>52</v>
      </c>
      <c r="AC186" s="2">
        <v>0.15</v>
      </c>
      <c r="AD186" t="s">
        <v>53</v>
      </c>
      <c r="AE186" t="s">
        <v>1100</v>
      </c>
      <c r="AG186" t="s">
        <v>1101</v>
      </c>
      <c r="AI186">
        <v>47370</v>
      </c>
      <c r="AJ186" t="s">
        <v>87</v>
      </c>
      <c r="AK186" t="s">
        <v>88</v>
      </c>
      <c r="AL186" t="s">
        <v>59</v>
      </c>
      <c r="AM186" t="s">
        <v>60</v>
      </c>
      <c r="AN186" t="s">
        <v>61</v>
      </c>
      <c r="AO186" t="s">
        <v>62</v>
      </c>
      <c r="AQ186" t="str">
        <f t="shared" si="6"/>
        <v>43 route d'Agen, Tournon-d'Agenais, , 47370, France</v>
      </c>
      <c r="AR186" t="str">
        <f t="shared" si="7"/>
        <v>French Client</v>
      </c>
      <c r="AS186" t="s">
        <v>64</v>
      </c>
      <c r="AT186">
        <v>16956</v>
      </c>
      <c r="AU186" t="str">
        <f t="shared" si="8"/>
        <v>Medium Client</v>
      </c>
    </row>
    <row r="187" spans="1:47" x14ac:dyDescent="0.25">
      <c r="B187" t="s">
        <v>1102</v>
      </c>
      <c r="C187" t="s">
        <v>64</v>
      </c>
      <c r="D187" t="s">
        <v>1103</v>
      </c>
      <c r="E187" t="s">
        <v>1104</v>
      </c>
      <c r="F187">
        <v>1</v>
      </c>
      <c r="G187" t="s">
        <v>46</v>
      </c>
      <c r="H187" t="s">
        <v>47</v>
      </c>
      <c r="I187" s="1">
        <v>45561</v>
      </c>
      <c r="J187" s="1">
        <v>45561</v>
      </c>
      <c r="K187" t="s">
        <v>47</v>
      </c>
      <c r="L187" t="s">
        <v>48</v>
      </c>
      <c r="M187" t="s">
        <v>47</v>
      </c>
      <c r="N187" s="1">
        <v>44606</v>
      </c>
      <c r="O187" s="1">
        <v>45561</v>
      </c>
      <c r="P187" t="s">
        <v>46</v>
      </c>
      <c r="Q187" t="s">
        <v>47</v>
      </c>
      <c r="R187" t="s">
        <v>47</v>
      </c>
      <c r="S187" t="s">
        <v>47</v>
      </c>
      <c r="V187" t="s">
        <v>47</v>
      </c>
      <c r="W187" t="s">
        <v>50</v>
      </c>
      <c r="X187" s="1">
        <v>45568</v>
      </c>
      <c r="Y187" t="s">
        <v>51</v>
      </c>
      <c r="Z187" s="1">
        <v>45582</v>
      </c>
      <c r="AA187" t="s">
        <v>50</v>
      </c>
      <c r="AB187" t="s">
        <v>52</v>
      </c>
      <c r="AC187" s="2">
        <v>0.15</v>
      </c>
      <c r="AD187" t="s">
        <v>53</v>
      </c>
      <c r="AE187" t="s">
        <v>1105</v>
      </c>
      <c r="AG187" t="s">
        <v>1106</v>
      </c>
      <c r="AI187">
        <v>47000</v>
      </c>
      <c r="AJ187" t="s">
        <v>87</v>
      </c>
      <c r="AK187" t="s">
        <v>88</v>
      </c>
      <c r="AL187" t="s">
        <v>137</v>
      </c>
      <c r="AM187" t="s">
        <v>60</v>
      </c>
      <c r="AN187" t="s">
        <v>61</v>
      </c>
      <c r="AO187" t="s">
        <v>62</v>
      </c>
      <c r="AQ187" t="str">
        <f t="shared" si="6"/>
        <v>9 Rue Montesquieu, Agen, , 47000, France</v>
      </c>
      <c r="AR187" t="str">
        <f t="shared" si="7"/>
        <v>French Client</v>
      </c>
      <c r="AS187" t="s">
        <v>64</v>
      </c>
      <c r="AT187">
        <v>14270</v>
      </c>
      <c r="AU187" t="str">
        <f t="shared" si="8"/>
        <v>Medium Client</v>
      </c>
    </row>
    <row r="188" spans="1:47" x14ac:dyDescent="0.25">
      <c r="B188" t="s">
        <v>1107</v>
      </c>
      <c r="C188" t="s">
        <v>64</v>
      </c>
      <c r="D188" t="s">
        <v>1108</v>
      </c>
      <c r="E188" t="s">
        <v>1109</v>
      </c>
      <c r="F188">
        <v>1</v>
      </c>
      <c r="G188" t="s">
        <v>46</v>
      </c>
      <c r="H188" t="s">
        <v>47</v>
      </c>
      <c r="I188" s="1">
        <v>44895</v>
      </c>
      <c r="J188" s="1">
        <v>44895</v>
      </c>
      <c r="K188" t="s">
        <v>47</v>
      </c>
      <c r="L188" t="s">
        <v>48</v>
      </c>
      <c r="M188" t="s">
        <v>47</v>
      </c>
      <c r="N188" s="1">
        <v>44501</v>
      </c>
      <c r="O188" s="1">
        <v>44895</v>
      </c>
      <c r="P188" t="s">
        <v>46</v>
      </c>
      <c r="Q188" t="s">
        <v>47</v>
      </c>
      <c r="R188" t="s">
        <v>47</v>
      </c>
      <c r="S188" t="s">
        <v>47</v>
      </c>
      <c r="V188" t="s">
        <v>47</v>
      </c>
      <c r="W188" t="s">
        <v>50</v>
      </c>
      <c r="X188" s="1">
        <v>44930</v>
      </c>
      <c r="Y188" t="s">
        <v>51</v>
      </c>
      <c r="Z188" s="1">
        <v>46007</v>
      </c>
      <c r="AA188" t="s">
        <v>50</v>
      </c>
      <c r="AB188" t="s">
        <v>52</v>
      </c>
      <c r="AC188" s="2">
        <v>0.15</v>
      </c>
      <c r="AD188" t="s">
        <v>53</v>
      </c>
      <c r="AE188" t="s">
        <v>1110</v>
      </c>
      <c r="AG188" t="s">
        <v>1111</v>
      </c>
      <c r="AI188">
        <v>6420</v>
      </c>
      <c r="AJ188" t="s">
        <v>87</v>
      </c>
      <c r="AK188" t="s">
        <v>88</v>
      </c>
      <c r="AL188" t="s">
        <v>59</v>
      </c>
      <c r="AM188" t="s">
        <v>98</v>
      </c>
      <c r="AN188" t="s">
        <v>61</v>
      </c>
      <c r="AO188" t="s">
        <v>62</v>
      </c>
      <c r="AQ188" t="str">
        <f t="shared" si="6"/>
        <v>RÃ©sidence Tavels, Isola, , 6420, France</v>
      </c>
      <c r="AR188" t="str">
        <f t="shared" si="7"/>
        <v>French Client</v>
      </c>
      <c r="AS188" t="s">
        <v>64</v>
      </c>
      <c r="AT188">
        <v>21720</v>
      </c>
      <c r="AU188" t="str">
        <f t="shared" si="8"/>
        <v>Medium Client</v>
      </c>
    </row>
    <row r="189" spans="1:47" x14ac:dyDescent="0.25">
      <c r="B189" t="s">
        <v>1112</v>
      </c>
      <c r="C189" t="s">
        <v>75</v>
      </c>
      <c r="D189" t="s">
        <v>1113</v>
      </c>
      <c r="E189" t="s">
        <v>1114</v>
      </c>
      <c r="F189">
        <v>1</v>
      </c>
      <c r="G189" t="s">
        <v>46</v>
      </c>
      <c r="H189" t="s">
        <v>47</v>
      </c>
      <c r="I189" s="1">
        <v>44764</v>
      </c>
      <c r="J189" s="1">
        <v>44764</v>
      </c>
      <c r="K189" t="s">
        <v>47</v>
      </c>
      <c r="L189" t="s">
        <v>48</v>
      </c>
      <c r="M189" t="s">
        <v>47</v>
      </c>
      <c r="N189" s="1">
        <v>44735</v>
      </c>
      <c r="O189" s="1">
        <v>44764</v>
      </c>
      <c r="P189" t="s">
        <v>46</v>
      </c>
      <c r="Q189" t="s">
        <v>47</v>
      </c>
      <c r="R189" t="s">
        <v>47</v>
      </c>
      <c r="S189" t="s">
        <v>47</v>
      </c>
      <c r="T189" t="s">
        <v>67</v>
      </c>
      <c r="V189" t="s">
        <v>47</v>
      </c>
      <c r="W189" t="s">
        <v>50</v>
      </c>
      <c r="X189" s="1">
        <v>44805</v>
      </c>
      <c r="Y189" t="s">
        <v>51</v>
      </c>
      <c r="Z189" s="1">
        <v>46007</v>
      </c>
      <c r="AA189" t="s">
        <v>50</v>
      </c>
      <c r="AB189" t="s">
        <v>52</v>
      </c>
      <c r="AC189" s="2">
        <v>0.15</v>
      </c>
      <c r="AD189" t="s">
        <v>53</v>
      </c>
      <c r="AE189" t="s">
        <v>1115</v>
      </c>
      <c r="AG189" t="s">
        <v>1116</v>
      </c>
      <c r="AI189">
        <v>75009</v>
      </c>
      <c r="AJ189" t="s">
        <v>87</v>
      </c>
      <c r="AK189" t="s">
        <v>88</v>
      </c>
      <c r="AL189" t="s">
        <v>59</v>
      </c>
      <c r="AM189" t="s">
        <v>60</v>
      </c>
      <c r="AN189" t="s">
        <v>61</v>
      </c>
      <c r="AO189" t="s">
        <v>62</v>
      </c>
      <c r="AQ189" t="str">
        <f t="shared" si="6"/>
        <v>1 Rue Pierre Fontaine, Paris, , 75009, France</v>
      </c>
      <c r="AR189" t="str">
        <f t="shared" si="7"/>
        <v>French Client</v>
      </c>
      <c r="AS189" t="s">
        <v>75</v>
      </c>
      <c r="AT189">
        <v>52746</v>
      </c>
      <c r="AU189" t="str">
        <f t="shared" si="8"/>
        <v>High Client</v>
      </c>
    </row>
    <row r="190" spans="1:47" x14ac:dyDescent="0.25">
      <c r="B190" t="s">
        <v>1117</v>
      </c>
      <c r="C190" t="s">
        <v>64</v>
      </c>
      <c r="D190" t="s">
        <v>1118</v>
      </c>
      <c r="E190" t="s">
        <v>1119</v>
      </c>
      <c r="F190">
        <v>2</v>
      </c>
      <c r="G190" t="s">
        <v>46</v>
      </c>
      <c r="H190" s="1">
        <v>45966</v>
      </c>
      <c r="I190" s="1">
        <v>45966</v>
      </c>
      <c r="J190" s="1">
        <v>45910</v>
      </c>
      <c r="K190" s="1">
        <v>45918</v>
      </c>
      <c r="L190" t="s">
        <v>48</v>
      </c>
      <c r="M190" t="s">
        <v>47</v>
      </c>
      <c r="N190" s="1">
        <v>45378</v>
      </c>
      <c r="O190" s="1">
        <v>45910</v>
      </c>
      <c r="P190" t="s">
        <v>646</v>
      </c>
      <c r="Q190" t="s">
        <v>47</v>
      </c>
      <c r="R190" t="s">
        <v>47</v>
      </c>
      <c r="S190" t="s">
        <v>47</v>
      </c>
      <c r="V190" t="s">
        <v>47</v>
      </c>
      <c r="W190" t="s">
        <v>50</v>
      </c>
      <c r="X190" s="1">
        <v>45981</v>
      </c>
      <c r="Y190" t="s">
        <v>51</v>
      </c>
      <c r="Z190" s="1">
        <v>46007</v>
      </c>
      <c r="AA190" t="s">
        <v>50</v>
      </c>
      <c r="AB190" t="s">
        <v>52</v>
      </c>
      <c r="AC190" s="2">
        <v>0.15</v>
      </c>
      <c r="AD190" t="s">
        <v>53</v>
      </c>
      <c r="AE190" t="s">
        <v>1120</v>
      </c>
      <c r="AF190">
        <v>6</v>
      </c>
      <c r="AG190" t="s">
        <v>1121</v>
      </c>
      <c r="AI190">
        <v>1725</v>
      </c>
      <c r="AJ190" t="s">
        <v>649</v>
      </c>
      <c r="AK190" t="s">
        <v>88</v>
      </c>
      <c r="AL190" t="s">
        <v>59</v>
      </c>
      <c r="AM190" t="s">
        <v>60</v>
      </c>
      <c r="AN190" t="s">
        <v>61</v>
      </c>
      <c r="AO190" t="s">
        <v>62</v>
      </c>
      <c r="AQ190" t="str">
        <f t="shared" si="6"/>
        <v>Rte de la Ria, Posieux, , 1725, Suisse</v>
      </c>
      <c r="AR190" t="str">
        <f t="shared" si="7"/>
        <v>International Client</v>
      </c>
      <c r="AS190" t="s">
        <v>64</v>
      </c>
      <c r="AT190">
        <v>23388</v>
      </c>
      <c r="AU190" t="str">
        <f t="shared" si="8"/>
        <v>Medium Client</v>
      </c>
    </row>
    <row r="191" spans="1:47" x14ac:dyDescent="0.25">
      <c r="B191" t="s">
        <v>1122</v>
      </c>
      <c r="C191" t="s">
        <v>64</v>
      </c>
      <c r="D191" t="s">
        <v>1123</v>
      </c>
      <c r="E191" t="s">
        <v>1124</v>
      </c>
      <c r="F191">
        <v>1</v>
      </c>
      <c r="G191" t="s">
        <v>46</v>
      </c>
      <c r="H191" s="1">
        <v>45210</v>
      </c>
      <c r="I191" s="1">
        <v>45202</v>
      </c>
      <c r="J191" s="1">
        <v>45202</v>
      </c>
      <c r="K191" t="s">
        <v>47</v>
      </c>
      <c r="L191" t="s">
        <v>48</v>
      </c>
      <c r="M191" t="s">
        <v>47</v>
      </c>
      <c r="N191" s="1">
        <v>44419</v>
      </c>
      <c r="O191" s="1">
        <v>45202</v>
      </c>
      <c r="P191" t="s">
        <v>46</v>
      </c>
      <c r="Q191" t="s">
        <v>47</v>
      </c>
      <c r="R191" t="s">
        <v>47</v>
      </c>
      <c r="S191" t="s">
        <v>47</v>
      </c>
      <c r="V191" t="s">
        <v>47</v>
      </c>
      <c r="W191" t="s">
        <v>50</v>
      </c>
      <c r="X191" s="1">
        <v>45238</v>
      </c>
      <c r="Y191" t="s">
        <v>51</v>
      </c>
      <c r="Z191" s="1">
        <v>45582</v>
      </c>
      <c r="AA191" t="s">
        <v>50</v>
      </c>
      <c r="AB191" t="s">
        <v>52</v>
      </c>
      <c r="AC191" s="2">
        <v>0.15</v>
      </c>
      <c r="AD191" t="s">
        <v>53</v>
      </c>
      <c r="AE191" t="s">
        <v>1125</v>
      </c>
      <c r="AG191" t="s">
        <v>1126</v>
      </c>
      <c r="AI191">
        <v>45390</v>
      </c>
      <c r="AJ191" t="s">
        <v>87</v>
      </c>
      <c r="AK191" t="s">
        <v>88</v>
      </c>
      <c r="AL191" t="s">
        <v>137</v>
      </c>
      <c r="AM191" t="s">
        <v>60</v>
      </c>
      <c r="AN191" t="s">
        <v>61</v>
      </c>
      <c r="AO191" t="s">
        <v>62</v>
      </c>
      <c r="AQ191" t="str">
        <f t="shared" si="6"/>
        <v>10 allÃ©e des granges , Puiseaux, , 45390, France</v>
      </c>
      <c r="AR191" t="str">
        <f t="shared" si="7"/>
        <v>French Client</v>
      </c>
      <c r="AS191" t="s">
        <v>64</v>
      </c>
      <c r="AT191">
        <v>13176</v>
      </c>
      <c r="AU191" t="str">
        <f t="shared" si="8"/>
        <v>Medium Client</v>
      </c>
    </row>
    <row r="192" spans="1:47" x14ac:dyDescent="0.25">
      <c r="B192" t="s">
        <v>1127</v>
      </c>
      <c r="C192" t="s">
        <v>64</v>
      </c>
      <c r="D192" t="s">
        <v>1128</v>
      </c>
      <c r="E192" t="s">
        <v>1129</v>
      </c>
      <c r="F192">
        <v>1</v>
      </c>
      <c r="G192" t="s">
        <v>46</v>
      </c>
      <c r="H192" t="s">
        <v>47</v>
      </c>
      <c r="I192" s="1">
        <v>45317</v>
      </c>
      <c r="J192" s="1">
        <v>45317</v>
      </c>
      <c r="K192" t="s">
        <v>47</v>
      </c>
      <c r="L192" t="s">
        <v>48</v>
      </c>
      <c r="M192" t="s">
        <v>47</v>
      </c>
      <c r="N192" s="1">
        <v>45302</v>
      </c>
      <c r="O192" s="1">
        <v>45317</v>
      </c>
      <c r="P192" t="s">
        <v>46</v>
      </c>
      <c r="Q192" t="s">
        <v>47</v>
      </c>
      <c r="R192" t="s">
        <v>47</v>
      </c>
      <c r="S192" t="s">
        <v>47</v>
      </c>
      <c r="T192" t="s">
        <v>67</v>
      </c>
      <c r="U192" t="s">
        <v>93</v>
      </c>
      <c r="V192" t="s">
        <v>47</v>
      </c>
      <c r="W192" t="s">
        <v>50</v>
      </c>
      <c r="X192" s="1">
        <v>45324</v>
      </c>
      <c r="Y192" t="s">
        <v>51</v>
      </c>
      <c r="Z192" s="1">
        <v>46007</v>
      </c>
      <c r="AA192" t="s">
        <v>50</v>
      </c>
      <c r="AB192" t="s">
        <v>52</v>
      </c>
      <c r="AC192" s="2">
        <v>0.15</v>
      </c>
      <c r="AD192" t="s">
        <v>53</v>
      </c>
      <c r="AE192" t="s">
        <v>1130</v>
      </c>
      <c r="AG192" t="s">
        <v>1131</v>
      </c>
      <c r="AI192">
        <v>7850</v>
      </c>
      <c r="AJ192" t="s">
        <v>164</v>
      </c>
      <c r="AK192" t="s">
        <v>88</v>
      </c>
      <c r="AL192" t="s">
        <v>59</v>
      </c>
      <c r="AM192" t="s">
        <v>60</v>
      </c>
      <c r="AN192" t="s">
        <v>61</v>
      </c>
      <c r="AO192" t="s">
        <v>62</v>
      </c>
      <c r="AQ192" t="str">
        <f t="shared" ref="AQ192:AQ231" si="9">AE192&amp;", "&amp;AG192&amp;", "&amp;AH192&amp;", "&amp;AI192&amp;", "&amp;AJ192</f>
        <v>19 Rue de Bruxelles, Enghien, , 7850, Belgique</v>
      </c>
      <c r="AR192" t="str">
        <f t="shared" ref="AR192:AR232" si="10">IF(UPPER(AJ192)="FRANCE","French Client","International Client")</f>
        <v>International Client</v>
      </c>
      <c r="AS192" t="s">
        <v>64</v>
      </c>
      <c r="AT192">
        <v>11340</v>
      </c>
      <c r="AU192" t="str">
        <f t="shared" ref="AU192:AU232" si="11">IF(AT192=0,"Low Client",IF(AT192&lt;=50000,"Medium Client","High Client"))</f>
        <v>Medium Client</v>
      </c>
    </row>
    <row r="193" spans="2:47" x14ac:dyDescent="0.25">
      <c r="B193" t="s">
        <v>1132</v>
      </c>
      <c r="C193" t="s">
        <v>1133</v>
      </c>
      <c r="D193" t="s">
        <v>1134</v>
      </c>
      <c r="E193" t="s">
        <v>710</v>
      </c>
      <c r="F193">
        <v>1</v>
      </c>
      <c r="G193" t="s">
        <v>49</v>
      </c>
      <c r="H193" t="s">
        <v>47</v>
      </c>
      <c r="I193" s="1">
        <v>45686</v>
      </c>
      <c r="J193" s="1">
        <v>45686</v>
      </c>
      <c r="K193" t="s">
        <v>47</v>
      </c>
      <c r="L193" t="s">
        <v>48</v>
      </c>
      <c r="M193" t="s">
        <v>47</v>
      </c>
      <c r="N193" s="1">
        <v>45676</v>
      </c>
      <c r="O193" s="1">
        <v>45686</v>
      </c>
      <c r="P193" t="s">
        <v>646</v>
      </c>
      <c r="Q193" t="s">
        <v>47</v>
      </c>
      <c r="R193" t="s">
        <v>47</v>
      </c>
      <c r="S193" t="s">
        <v>47</v>
      </c>
      <c r="V193" t="s">
        <v>47</v>
      </c>
      <c r="W193" t="s">
        <v>50</v>
      </c>
      <c r="X193" s="1">
        <v>45698</v>
      </c>
      <c r="Y193" t="s">
        <v>51</v>
      </c>
      <c r="Z193" s="1">
        <v>46007</v>
      </c>
      <c r="AA193" t="s">
        <v>50</v>
      </c>
      <c r="AB193" t="s">
        <v>52</v>
      </c>
      <c r="AC193" s="2">
        <v>0.15</v>
      </c>
      <c r="AD193" t="s">
        <v>53</v>
      </c>
      <c r="AE193" t="s">
        <v>1135</v>
      </c>
      <c r="AG193" t="s">
        <v>1136</v>
      </c>
      <c r="AI193">
        <v>8400</v>
      </c>
      <c r="AJ193" t="s">
        <v>649</v>
      </c>
      <c r="AK193" t="s">
        <v>946</v>
      </c>
      <c r="AL193" t="s">
        <v>59</v>
      </c>
      <c r="AM193" t="s">
        <v>60</v>
      </c>
      <c r="AN193" t="s">
        <v>61</v>
      </c>
      <c r="AO193" t="s">
        <v>62</v>
      </c>
      <c r="AQ193" t="str">
        <f t="shared" si="9"/>
        <v>Schaffhauserstrasse 82, Winterthur, , 8400, Suisse</v>
      </c>
      <c r="AR193" t="str">
        <f t="shared" si="10"/>
        <v>International Client</v>
      </c>
      <c r="AS193" t="s">
        <v>1133</v>
      </c>
      <c r="AT193">
        <v>33360</v>
      </c>
      <c r="AU193" t="str">
        <f t="shared" si="11"/>
        <v>Medium Client</v>
      </c>
    </row>
    <row r="194" spans="2:47" x14ac:dyDescent="0.25">
      <c r="B194" t="s">
        <v>1137</v>
      </c>
      <c r="C194" t="s">
        <v>112</v>
      </c>
      <c r="D194" t="s">
        <v>1138</v>
      </c>
      <c r="E194" t="s">
        <v>1139</v>
      </c>
      <c r="F194">
        <v>1</v>
      </c>
      <c r="G194" t="s">
        <v>49</v>
      </c>
      <c r="H194" t="s">
        <v>47</v>
      </c>
      <c r="I194" s="1">
        <v>45778</v>
      </c>
      <c r="J194" s="1">
        <v>45778</v>
      </c>
      <c r="K194" t="s">
        <v>47</v>
      </c>
      <c r="L194" t="s">
        <v>48</v>
      </c>
      <c r="M194" t="s">
        <v>47</v>
      </c>
      <c r="N194" s="1">
        <v>44858</v>
      </c>
      <c r="O194" s="1">
        <v>45778</v>
      </c>
      <c r="P194" t="s">
        <v>46</v>
      </c>
      <c r="Q194" t="s">
        <v>47</v>
      </c>
      <c r="R194" t="s">
        <v>47</v>
      </c>
      <c r="S194" t="s">
        <v>47</v>
      </c>
      <c r="V194" t="s">
        <v>47</v>
      </c>
      <c r="W194" t="s">
        <v>50</v>
      </c>
      <c r="X194" s="1">
        <v>45789</v>
      </c>
      <c r="Y194" t="s">
        <v>51</v>
      </c>
      <c r="Z194" s="1">
        <v>46007</v>
      </c>
      <c r="AA194" t="s">
        <v>50</v>
      </c>
      <c r="AB194" t="s">
        <v>52</v>
      </c>
      <c r="AC194" s="2">
        <v>0.15</v>
      </c>
      <c r="AD194" t="s">
        <v>53</v>
      </c>
      <c r="AE194" t="s">
        <v>1140</v>
      </c>
      <c r="AG194" t="s">
        <v>1141</v>
      </c>
      <c r="AI194">
        <v>43110</v>
      </c>
      <c r="AJ194" t="s">
        <v>87</v>
      </c>
      <c r="AK194" t="s">
        <v>88</v>
      </c>
      <c r="AL194" t="s">
        <v>59</v>
      </c>
      <c r="AM194" t="s">
        <v>60</v>
      </c>
      <c r="AN194" t="s">
        <v>61</v>
      </c>
      <c r="AO194" t="s">
        <v>62</v>
      </c>
      <c r="AQ194" t="str">
        <f t="shared" si="9"/>
        <v>17 Avenue de Firminy, Aurec-sur-Loire, , 43110, France</v>
      </c>
      <c r="AR194" t="str">
        <f t="shared" si="10"/>
        <v>French Client</v>
      </c>
      <c r="AS194" t="s">
        <v>112</v>
      </c>
      <c r="AT194">
        <v>31464</v>
      </c>
      <c r="AU194" t="str">
        <f t="shared" si="11"/>
        <v>Medium Client</v>
      </c>
    </row>
    <row r="195" spans="2:47" x14ac:dyDescent="0.25">
      <c r="B195" t="s">
        <v>1142</v>
      </c>
      <c r="C195" t="s">
        <v>64</v>
      </c>
      <c r="D195" t="s">
        <v>1143</v>
      </c>
      <c r="E195" t="s">
        <v>1144</v>
      </c>
      <c r="F195">
        <v>1</v>
      </c>
      <c r="G195" t="s">
        <v>1145</v>
      </c>
      <c r="H195" s="1">
        <v>45601</v>
      </c>
      <c r="I195" s="1">
        <v>45287</v>
      </c>
      <c r="J195" s="1">
        <v>45287</v>
      </c>
      <c r="K195" t="s">
        <v>47</v>
      </c>
      <c r="L195" t="s">
        <v>48</v>
      </c>
      <c r="M195" s="1">
        <v>45499</v>
      </c>
      <c r="N195" s="1">
        <v>45268</v>
      </c>
      <c r="O195" s="1">
        <v>45287</v>
      </c>
      <c r="P195" t="s">
        <v>46</v>
      </c>
      <c r="Q195" t="s">
        <v>47</v>
      </c>
      <c r="R195" t="s">
        <v>47</v>
      </c>
      <c r="S195" t="s">
        <v>47</v>
      </c>
      <c r="T195" t="s">
        <v>67</v>
      </c>
      <c r="U195" t="s">
        <v>93</v>
      </c>
      <c r="V195" t="s">
        <v>47</v>
      </c>
      <c r="W195" t="s">
        <v>50</v>
      </c>
      <c r="X195" s="1">
        <v>45290</v>
      </c>
      <c r="Y195" t="s">
        <v>51</v>
      </c>
      <c r="Z195" s="1">
        <v>46007</v>
      </c>
      <c r="AA195" t="s">
        <v>50</v>
      </c>
      <c r="AB195" t="s">
        <v>52</v>
      </c>
      <c r="AC195" s="2">
        <v>0.15</v>
      </c>
      <c r="AD195" t="s">
        <v>53</v>
      </c>
      <c r="AE195" t="s">
        <v>1146</v>
      </c>
      <c r="AG195" t="s">
        <v>1147</v>
      </c>
      <c r="AI195">
        <v>6992</v>
      </c>
      <c r="AJ195" t="s">
        <v>1068</v>
      </c>
      <c r="AK195" t="s">
        <v>946</v>
      </c>
      <c r="AL195" t="s">
        <v>59</v>
      </c>
      <c r="AM195" t="s">
        <v>60</v>
      </c>
      <c r="AN195" t="s">
        <v>61</v>
      </c>
      <c r="AO195" t="s">
        <v>62</v>
      </c>
      <c r="AQ195" t="str">
        <f t="shared" si="9"/>
        <v>Am SonnenbÃ¼hl 6, Hirschegg, , 6992, Autriche</v>
      </c>
      <c r="AR195" t="str">
        <f t="shared" si="10"/>
        <v>International Client</v>
      </c>
      <c r="AS195" t="s">
        <v>64</v>
      </c>
      <c r="AT195">
        <v>53300</v>
      </c>
      <c r="AU195" t="str">
        <f t="shared" si="11"/>
        <v>High Client</v>
      </c>
    </row>
    <row r="196" spans="2:47" x14ac:dyDescent="0.25">
      <c r="B196" t="s">
        <v>1148</v>
      </c>
      <c r="C196" t="s">
        <v>75</v>
      </c>
      <c r="D196" t="s">
        <v>1149</v>
      </c>
      <c r="E196" t="s">
        <v>1150</v>
      </c>
      <c r="F196">
        <v>1</v>
      </c>
      <c r="G196" t="s">
        <v>1151</v>
      </c>
      <c r="H196" s="1">
        <v>46006</v>
      </c>
      <c r="I196" s="1">
        <v>45645</v>
      </c>
      <c r="J196" s="1">
        <v>45645</v>
      </c>
      <c r="K196" t="s">
        <v>47</v>
      </c>
      <c r="L196" t="s">
        <v>48</v>
      </c>
      <c r="M196" t="s">
        <v>47</v>
      </c>
      <c r="N196" s="1">
        <v>44342</v>
      </c>
      <c r="O196" s="1">
        <v>45645</v>
      </c>
      <c r="P196" t="s">
        <v>46</v>
      </c>
      <c r="Q196" t="s">
        <v>47</v>
      </c>
      <c r="R196" t="s">
        <v>47</v>
      </c>
      <c r="S196" t="s">
        <v>47</v>
      </c>
      <c r="T196" t="s">
        <v>67</v>
      </c>
      <c r="V196" t="s">
        <v>47</v>
      </c>
      <c r="W196" t="s">
        <v>50</v>
      </c>
      <c r="X196" s="1">
        <v>45657</v>
      </c>
      <c r="Y196" t="s">
        <v>51</v>
      </c>
      <c r="Z196" s="1">
        <v>46007</v>
      </c>
      <c r="AA196" t="s">
        <v>50</v>
      </c>
      <c r="AB196" t="s">
        <v>52</v>
      </c>
      <c r="AC196" s="2">
        <v>0.15</v>
      </c>
      <c r="AD196" t="s">
        <v>53</v>
      </c>
      <c r="AE196" t="s">
        <v>1152</v>
      </c>
      <c r="AG196" t="s">
        <v>1153</v>
      </c>
      <c r="AI196">
        <v>2500</v>
      </c>
      <c r="AJ196" t="s">
        <v>87</v>
      </c>
      <c r="AK196" t="s">
        <v>88</v>
      </c>
      <c r="AL196" t="s">
        <v>137</v>
      </c>
      <c r="AM196" t="s">
        <v>98</v>
      </c>
      <c r="AN196" t="s">
        <v>61</v>
      </c>
      <c r="AO196" t="s">
        <v>62</v>
      </c>
      <c r="AQ196" t="str">
        <f t="shared" si="9"/>
        <v>5 Rue Jean Mermoz, Aubenton, , 2500, France</v>
      </c>
      <c r="AR196" t="str">
        <f t="shared" si="10"/>
        <v>French Client</v>
      </c>
      <c r="AS196" t="s">
        <v>75</v>
      </c>
      <c r="AT196">
        <v>19692</v>
      </c>
      <c r="AU196" t="str">
        <f t="shared" si="11"/>
        <v>Medium Client</v>
      </c>
    </row>
    <row r="197" spans="2:47" x14ac:dyDescent="0.25">
      <c r="B197" t="s">
        <v>1154</v>
      </c>
      <c r="C197" t="s">
        <v>1155</v>
      </c>
      <c r="D197" t="s">
        <v>1156</v>
      </c>
      <c r="E197" t="s">
        <v>1157</v>
      </c>
      <c r="F197">
        <v>1</v>
      </c>
      <c r="G197" t="s">
        <v>49</v>
      </c>
      <c r="H197" t="s">
        <v>47</v>
      </c>
      <c r="I197" s="1">
        <v>45986</v>
      </c>
      <c r="J197" s="1">
        <v>45986</v>
      </c>
      <c r="K197" s="1">
        <v>45993</v>
      </c>
      <c r="L197" t="s">
        <v>48</v>
      </c>
      <c r="M197" t="s">
        <v>47</v>
      </c>
      <c r="N197" s="1">
        <v>45293</v>
      </c>
      <c r="O197" s="1">
        <v>45986</v>
      </c>
      <c r="P197" t="s">
        <v>46</v>
      </c>
      <c r="Q197" t="s">
        <v>47</v>
      </c>
      <c r="R197" t="s">
        <v>47</v>
      </c>
      <c r="S197" t="s">
        <v>47</v>
      </c>
      <c r="T197" t="s">
        <v>67</v>
      </c>
      <c r="U197" t="s">
        <v>613</v>
      </c>
      <c r="V197" t="s">
        <v>47</v>
      </c>
      <c r="W197" t="s">
        <v>50</v>
      </c>
      <c r="X197" s="1">
        <v>45993</v>
      </c>
      <c r="Y197" t="s">
        <v>51</v>
      </c>
      <c r="Z197" s="1">
        <v>46007</v>
      </c>
      <c r="AA197" t="s">
        <v>50</v>
      </c>
      <c r="AB197" t="s">
        <v>52</v>
      </c>
      <c r="AC197" s="2">
        <v>0.15</v>
      </c>
      <c r="AD197" t="s">
        <v>53</v>
      </c>
      <c r="AE197" t="s">
        <v>1158</v>
      </c>
      <c r="AG197" t="s">
        <v>1159</v>
      </c>
      <c r="AI197">
        <v>9560</v>
      </c>
      <c r="AJ197" t="s">
        <v>1068</v>
      </c>
      <c r="AK197" t="s">
        <v>946</v>
      </c>
      <c r="AL197" t="s">
        <v>59</v>
      </c>
      <c r="AM197" t="s">
        <v>60</v>
      </c>
      <c r="AN197" t="s">
        <v>61</v>
      </c>
      <c r="AO197" t="s">
        <v>62</v>
      </c>
      <c r="AQ197" t="str">
        <f t="shared" si="9"/>
        <v>6 Kirchgasse, Feldkirchen in KÃ¤rnten, , 9560, Autriche</v>
      </c>
      <c r="AR197" t="str">
        <f t="shared" si="10"/>
        <v>International Client</v>
      </c>
      <c r="AS197" t="s">
        <v>1155</v>
      </c>
      <c r="AT197">
        <v>10536</v>
      </c>
      <c r="AU197" t="str">
        <f t="shared" si="11"/>
        <v>Medium Client</v>
      </c>
    </row>
    <row r="198" spans="2:47" x14ac:dyDescent="0.25">
      <c r="B198" t="s">
        <v>1160</v>
      </c>
      <c r="C198" t="s">
        <v>64</v>
      </c>
      <c r="D198" t="s">
        <v>1161</v>
      </c>
      <c r="E198" t="s">
        <v>1162</v>
      </c>
      <c r="F198">
        <v>1</v>
      </c>
      <c r="G198" t="s">
        <v>49</v>
      </c>
      <c r="H198" t="s">
        <v>47</v>
      </c>
      <c r="I198" s="1">
        <v>45976</v>
      </c>
      <c r="J198" s="1">
        <v>45976</v>
      </c>
      <c r="K198" s="1">
        <v>45982</v>
      </c>
      <c r="L198" t="s">
        <v>48</v>
      </c>
      <c r="M198" t="s">
        <v>47</v>
      </c>
      <c r="N198" s="1">
        <v>45971</v>
      </c>
      <c r="O198" s="1">
        <v>45976</v>
      </c>
      <c r="P198" t="s">
        <v>46</v>
      </c>
      <c r="Q198" t="s">
        <v>47</v>
      </c>
      <c r="R198" t="s">
        <v>47</v>
      </c>
      <c r="S198" t="s">
        <v>47</v>
      </c>
      <c r="V198" t="s">
        <v>47</v>
      </c>
      <c r="W198" t="s">
        <v>50</v>
      </c>
      <c r="X198" s="1">
        <v>45982</v>
      </c>
      <c r="Y198" t="s">
        <v>51</v>
      </c>
      <c r="Z198" s="1">
        <v>46007</v>
      </c>
      <c r="AA198" t="s">
        <v>50</v>
      </c>
      <c r="AB198" t="s">
        <v>52</v>
      </c>
      <c r="AC198" s="2">
        <v>0.15</v>
      </c>
      <c r="AD198" t="s">
        <v>53</v>
      </c>
      <c r="AE198" t="s">
        <v>1163</v>
      </c>
      <c r="AG198" t="s">
        <v>1164</v>
      </c>
      <c r="AI198">
        <v>86140</v>
      </c>
      <c r="AJ198" t="s">
        <v>87</v>
      </c>
      <c r="AK198" t="s">
        <v>88</v>
      </c>
      <c r="AL198" t="s">
        <v>59</v>
      </c>
      <c r="AM198" t="s">
        <v>60</v>
      </c>
      <c r="AN198" t="s">
        <v>61</v>
      </c>
      <c r="AO198" t="s">
        <v>62</v>
      </c>
      <c r="AQ198" t="str">
        <f t="shared" si="9"/>
        <v>10 Rue de Champsin, ScorbÃ©-Clairvaux, , 86140, France</v>
      </c>
      <c r="AR198" t="str">
        <f t="shared" si="10"/>
        <v>French Client</v>
      </c>
      <c r="AS198" t="s">
        <v>64</v>
      </c>
      <c r="AT198">
        <v>19584</v>
      </c>
      <c r="AU198" t="str">
        <f t="shared" si="11"/>
        <v>Medium Client</v>
      </c>
    </row>
    <row r="199" spans="2:47" x14ac:dyDescent="0.25">
      <c r="B199" t="s">
        <v>1165</v>
      </c>
      <c r="C199" t="s">
        <v>43</v>
      </c>
      <c r="D199" t="s">
        <v>1166</v>
      </c>
      <c r="E199" t="s">
        <v>1167</v>
      </c>
      <c r="F199">
        <v>2</v>
      </c>
      <c r="G199" t="s">
        <v>46</v>
      </c>
      <c r="H199" s="1">
        <v>45952</v>
      </c>
      <c r="I199" s="1">
        <v>45951</v>
      </c>
      <c r="J199" s="1">
        <v>45603</v>
      </c>
      <c r="K199" s="1">
        <v>45614</v>
      </c>
      <c r="L199" t="s">
        <v>48</v>
      </c>
      <c r="M199" s="1">
        <v>45951</v>
      </c>
      <c r="N199" s="1">
        <v>44835</v>
      </c>
      <c r="O199" s="1">
        <v>45603</v>
      </c>
      <c r="P199" t="s">
        <v>46</v>
      </c>
      <c r="Q199" t="s">
        <v>47</v>
      </c>
      <c r="R199" t="s">
        <v>47</v>
      </c>
      <c r="S199" t="s">
        <v>47</v>
      </c>
      <c r="V199" t="s">
        <v>47</v>
      </c>
      <c r="W199" t="s">
        <v>50</v>
      </c>
      <c r="X199" s="1">
        <v>45959</v>
      </c>
      <c r="Y199" t="s">
        <v>51</v>
      </c>
      <c r="Z199" s="1">
        <v>46007</v>
      </c>
      <c r="AA199" t="s">
        <v>50</v>
      </c>
      <c r="AB199" t="s">
        <v>52</v>
      </c>
      <c r="AC199" s="2">
        <v>0.15</v>
      </c>
      <c r="AD199" t="s">
        <v>53</v>
      </c>
      <c r="AE199" t="s">
        <v>1168</v>
      </c>
      <c r="AG199" t="s">
        <v>1169</v>
      </c>
      <c r="AI199" t="s">
        <v>1170</v>
      </c>
      <c r="AJ199" t="s">
        <v>430</v>
      </c>
      <c r="AK199" t="s">
        <v>954</v>
      </c>
      <c r="AL199" t="s">
        <v>59</v>
      </c>
      <c r="AM199" t="s">
        <v>60</v>
      </c>
      <c r="AN199" t="s">
        <v>61</v>
      </c>
      <c r="AO199" t="s">
        <v>62</v>
      </c>
      <c r="AQ199" t="str">
        <f t="shared" si="9"/>
        <v>10A Praceta Infanta D. Isabel de Portugal, Belas, , 2605-246, Portugal</v>
      </c>
      <c r="AR199" t="str">
        <f t="shared" si="10"/>
        <v>International Client</v>
      </c>
      <c r="AS199" t="s">
        <v>43</v>
      </c>
      <c r="AT199">
        <v>45308</v>
      </c>
      <c r="AU199" t="str">
        <f t="shared" si="11"/>
        <v>Medium Client</v>
      </c>
    </row>
    <row r="200" spans="2:47" x14ac:dyDescent="0.25">
      <c r="B200" t="s">
        <v>1171</v>
      </c>
      <c r="C200" t="s">
        <v>1155</v>
      </c>
      <c r="D200" t="s">
        <v>1172</v>
      </c>
      <c r="E200" t="s">
        <v>1173</v>
      </c>
      <c r="F200">
        <v>4</v>
      </c>
      <c r="G200" t="s">
        <v>46</v>
      </c>
      <c r="H200" s="1">
        <v>45868</v>
      </c>
      <c r="I200" s="1">
        <v>45866</v>
      </c>
      <c r="J200" s="1">
        <v>45430</v>
      </c>
      <c r="K200" s="1">
        <v>45436</v>
      </c>
      <c r="L200" t="s">
        <v>48</v>
      </c>
      <c r="M200" s="1">
        <v>45497</v>
      </c>
      <c r="N200" s="1">
        <v>44768</v>
      </c>
      <c r="O200" s="1">
        <v>45430</v>
      </c>
      <c r="P200" t="s">
        <v>46</v>
      </c>
      <c r="Q200" t="s">
        <v>47</v>
      </c>
      <c r="R200" t="s">
        <v>47</v>
      </c>
      <c r="S200" t="s">
        <v>47</v>
      </c>
      <c r="T200" t="s">
        <v>67</v>
      </c>
      <c r="V200" t="s">
        <v>47</v>
      </c>
      <c r="W200" t="s">
        <v>50</v>
      </c>
      <c r="X200" s="1">
        <v>45870</v>
      </c>
      <c r="Y200" t="s">
        <v>51</v>
      </c>
      <c r="Z200" s="1">
        <v>46007</v>
      </c>
      <c r="AA200" t="s">
        <v>50</v>
      </c>
      <c r="AB200" t="s">
        <v>52</v>
      </c>
      <c r="AC200" s="2">
        <v>0.15</v>
      </c>
      <c r="AD200" t="s">
        <v>53</v>
      </c>
      <c r="AE200" t="s">
        <v>1174</v>
      </c>
      <c r="AG200" t="s">
        <v>1175</v>
      </c>
      <c r="AI200">
        <v>2340</v>
      </c>
      <c r="AJ200" t="s">
        <v>87</v>
      </c>
      <c r="AK200" t="s">
        <v>88</v>
      </c>
      <c r="AL200" t="s">
        <v>59</v>
      </c>
      <c r="AM200" t="s">
        <v>60</v>
      </c>
      <c r="AN200" t="s">
        <v>61</v>
      </c>
      <c r="AO200" t="s">
        <v>62</v>
      </c>
      <c r="AQ200" t="str">
        <f t="shared" si="9"/>
        <v>8 Rue de la Gare, Montcornet, , 2340, France</v>
      </c>
      <c r="AR200" t="str">
        <f t="shared" si="10"/>
        <v>French Client</v>
      </c>
      <c r="AS200" t="s">
        <v>1155</v>
      </c>
      <c r="AT200">
        <v>129690</v>
      </c>
      <c r="AU200" t="str">
        <f t="shared" si="11"/>
        <v>High Client</v>
      </c>
    </row>
    <row r="201" spans="2:47" x14ac:dyDescent="0.25">
      <c r="B201" t="s">
        <v>1176</v>
      </c>
      <c r="C201" t="s">
        <v>1133</v>
      </c>
      <c r="D201" t="s">
        <v>1177</v>
      </c>
      <c r="E201" t="s">
        <v>1178</v>
      </c>
      <c r="F201">
        <v>1</v>
      </c>
      <c r="G201" t="s">
        <v>46</v>
      </c>
      <c r="H201" s="1">
        <v>45167</v>
      </c>
      <c r="I201" s="1">
        <v>45147</v>
      </c>
      <c r="J201" s="1">
        <v>45147</v>
      </c>
      <c r="K201" t="s">
        <v>47</v>
      </c>
      <c r="L201" t="s">
        <v>48</v>
      </c>
      <c r="M201" t="s">
        <v>47</v>
      </c>
      <c r="N201" s="1">
        <v>44827</v>
      </c>
      <c r="O201" s="1">
        <v>45127</v>
      </c>
      <c r="P201" t="s">
        <v>46</v>
      </c>
      <c r="Q201" t="s">
        <v>47</v>
      </c>
      <c r="R201" t="s">
        <v>47</v>
      </c>
      <c r="S201" t="s">
        <v>47</v>
      </c>
      <c r="V201" t="s">
        <v>47</v>
      </c>
      <c r="W201" t="s">
        <v>50</v>
      </c>
      <c r="X201" s="1">
        <v>45197</v>
      </c>
      <c r="Y201" t="s">
        <v>51</v>
      </c>
      <c r="Z201" s="1">
        <v>46007</v>
      </c>
      <c r="AA201" t="s">
        <v>50</v>
      </c>
      <c r="AB201" t="s">
        <v>52</v>
      </c>
      <c r="AC201" s="2">
        <v>0.15</v>
      </c>
      <c r="AD201" t="s">
        <v>53</v>
      </c>
      <c r="AE201" t="s">
        <v>1179</v>
      </c>
      <c r="AG201" t="s">
        <v>1180</v>
      </c>
      <c r="AI201">
        <v>31250</v>
      </c>
      <c r="AJ201" t="s">
        <v>87</v>
      </c>
      <c r="AK201" t="s">
        <v>88</v>
      </c>
      <c r="AL201" t="s">
        <v>59</v>
      </c>
      <c r="AM201" t="s">
        <v>60</v>
      </c>
      <c r="AN201" t="s">
        <v>61</v>
      </c>
      <c r="AO201" t="s">
        <v>62</v>
      </c>
      <c r="AQ201" t="str">
        <f t="shared" si="9"/>
        <v>16 Rue de Dreuilhe, Revel, , 31250, France</v>
      </c>
      <c r="AR201" t="str">
        <f t="shared" si="10"/>
        <v>French Client</v>
      </c>
      <c r="AS201" t="s">
        <v>1133</v>
      </c>
      <c r="AT201">
        <v>45516</v>
      </c>
      <c r="AU201" t="str">
        <f t="shared" si="11"/>
        <v>Medium Client</v>
      </c>
    </row>
    <row r="202" spans="2:47" x14ac:dyDescent="0.25">
      <c r="B202" t="s">
        <v>1181</v>
      </c>
      <c r="C202" t="s">
        <v>64</v>
      </c>
      <c r="D202" t="s">
        <v>1182</v>
      </c>
      <c r="E202" t="s">
        <v>46</v>
      </c>
      <c r="F202">
        <v>0</v>
      </c>
      <c r="G202" t="s">
        <v>46</v>
      </c>
      <c r="H202" t="s">
        <v>47</v>
      </c>
      <c r="I202" t="s">
        <v>47</v>
      </c>
      <c r="J202" t="s">
        <v>47</v>
      </c>
      <c r="K202" t="s">
        <v>47</v>
      </c>
      <c r="L202" t="s">
        <v>48</v>
      </c>
      <c r="M202" t="s">
        <v>47</v>
      </c>
      <c r="N202" s="1">
        <v>44623</v>
      </c>
      <c r="O202" s="1">
        <v>44695</v>
      </c>
      <c r="P202" t="s">
        <v>46</v>
      </c>
      <c r="Q202" t="s">
        <v>47</v>
      </c>
      <c r="R202" t="s">
        <v>47</v>
      </c>
      <c r="S202" t="s">
        <v>47</v>
      </c>
      <c r="T202" t="s">
        <v>67</v>
      </c>
      <c r="V202" t="s">
        <v>47</v>
      </c>
      <c r="W202" t="s">
        <v>50</v>
      </c>
      <c r="X202" t="s">
        <v>47</v>
      </c>
      <c r="Y202" t="s">
        <v>51</v>
      </c>
      <c r="Z202" s="1">
        <v>46007</v>
      </c>
      <c r="AA202" t="s">
        <v>50</v>
      </c>
      <c r="AB202" t="s">
        <v>52</v>
      </c>
      <c r="AC202" s="2">
        <v>0.15</v>
      </c>
      <c r="AD202" t="s">
        <v>53</v>
      </c>
      <c r="AE202" t="s">
        <v>1183</v>
      </c>
      <c r="AG202" t="s">
        <v>1184</v>
      </c>
      <c r="AI202">
        <v>63240</v>
      </c>
      <c r="AJ202" t="s">
        <v>87</v>
      </c>
      <c r="AK202" t="s">
        <v>88</v>
      </c>
      <c r="AL202" t="s">
        <v>59</v>
      </c>
      <c r="AN202" t="s">
        <v>73</v>
      </c>
      <c r="AO202" t="s">
        <v>62</v>
      </c>
      <c r="AQ202" t="str">
        <f t="shared" si="9"/>
        <v>3 Rue Meynadier, Mont-Dore, , 63240, France</v>
      </c>
      <c r="AR202" t="str">
        <f t="shared" si="10"/>
        <v>French Client</v>
      </c>
      <c r="AS202" t="s">
        <v>64</v>
      </c>
      <c r="AT202">
        <v>0</v>
      </c>
      <c r="AU202" t="str">
        <f t="shared" si="11"/>
        <v>Low Client</v>
      </c>
    </row>
    <row r="203" spans="2:47" x14ac:dyDescent="0.25">
      <c r="B203" t="s">
        <v>1185</v>
      </c>
      <c r="C203" t="s">
        <v>198</v>
      </c>
      <c r="D203" t="s">
        <v>1186</v>
      </c>
      <c r="E203" t="s">
        <v>1187</v>
      </c>
      <c r="F203">
        <v>2</v>
      </c>
      <c r="G203" t="s">
        <v>46</v>
      </c>
      <c r="H203" s="1">
        <v>45542</v>
      </c>
      <c r="I203" s="1">
        <v>45425</v>
      </c>
      <c r="J203" s="1">
        <v>45412</v>
      </c>
      <c r="K203" t="s">
        <v>47</v>
      </c>
      <c r="L203" t="s">
        <v>48</v>
      </c>
      <c r="M203" t="s">
        <v>47</v>
      </c>
      <c r="N203" s="1">
        <v>45245</v>
      </c>
      <c r="O203" s="1">
        <v>45412</v>
      </c>
      <c r="P203" t="s">
        <v>46</v>
      </c>
      <c r="Q203" t="s">
        <v>47</v>
      </c>
      <c r="R203" t="s">
        <v>47</v>
      </c>
      <c r="S203" t="s">
        <v>47</v>
      </c>
      <c r="V203" t="s">
        <v>47</v>
      </c>
      <c r="W203" t="s">
        <v>50</v>
      </c>
      <c r="X203" s="1">
        <v>45434</v>
      </c>
      <c r="Y203" t="s">
        <v>51</v>
      </c>
      <c r="Z203" s="1">
        <v>46007</v>
      </c>
      <c r="AA203" t="s">
        <v>50</v>
      </c>
      <c r="AB203" t="s">
        <v>52</v>
      </c>
      <c r="AC203" s="2">
        <v>0.15</v>
      </c>
      <c r="AD203" t="s">
        <v>53</v>
      </c>
      <c r="AE203" t="s">
        <v>1188</v>
      </c>
      <c r="AF203" t="s">
        <v>1189</v>
      </c>
      <c r="AG203" t="s">
        <v>1190</v>
      </c>
      <c r="AI203">
        <v>78330</v>
      </c>
      <c r="AJ203" t="s">
        <v>87</v>
      </c>
      <c r="AK203" t="s">
        <v>88</v>
      </c>
      <c r="AL203" t="s">
        <v>59</v>
      </c>
      <c r="AM203" t="s">
        <v>98</v>
      </c>
      <c r="AN203" t="s">
        <v>61</v>
      </c>
      <c r="AO203" t="s">
        <v>62</v>
      </c>
      <c r="AQ203" t="str">
        <f t="shared" si="9"/>
        <v>3 Avenue de la RÃ©publique, Fontenay-le-Fleury, , 78330, France</v>
      </c>
      <c r="AR203" t="str">
        <f t="shared" si="10"/>
        <v>French Client</v>
      </c>
      <c r="AS203" t="s">
        <v>198</v>
      </c>
      <c r="AT203">
        <v>12790</v>
      </c>
      <c r="AU203" t="str">
        <f t="shared" si="11"/>
        <v>Medium Client</v>
      </c>
    </row>
    <row r="204" spans="2:47" x14ac:dyDescent="0.25">
      <c r="B204" t="s">
        <v>1191</v>
      </c>
      <c r="C204" t="s">
        <v>64</v>
      </c>
      <c r="D204" t="s">
        <v>1192</v>
      </c>
      <c r="E204" t="s">
        <v>1193</v>
      </c>
      <c r="F204">
        <v>1</v>
      </c>
      <c r="G204" t="s">
        <v>46</v>
      </c>
      <c r="H204" s="1">
        <v>45791</v>
      </c>
      <c r="I204" s="1">
        <v>45784</v>
      </c>
      <c r="J204" s="1">
        <v>45784</v>
      </c>
      <c r="K204" t="s">
        <v>47</v>
      </c>
      <c r="L204" t="s">
        <v>48</v>
      </c>
      <c r="M204" s="1">
        <v>45790</v>
      </c>
      <c r="N204" s="1">
        <v>45768</v>
      </c>
      <c r="O204" s="1">
        <v>45784</v>
      </c>
      <c r="P204" t="s">
        <v>46</v>
      </c>
      <c r="Q204" t="s">
        <v>47</v>
      </c>
      <c r="R204" t="s">
        <v>47</v>
      </c>
      <c r="S204" t="s">
        <v>47</v>
      </c>
      <c r="V204" t="s">
        <v>47</v>
      </c>
      <c r="W204" t="s">
        <v>50</v>
      </c>
      <c r="X204" s="1">
        <v>45792</v>
      </c>
      <c r="Y204" t="s">
        <v>51</v>
      </c>
      <c r="Z204" s="1">
        <v>46007</v>
      </c>
      <c r="AA204" t="s">
        <v>50</v>
      </c>
      <c r="AB204" t="s">
        <v>52</v>
      </c>
      <c r="AC204" s="2">
        <v>0.15</v>
      </c>
      <c r="AD204" t="s">
        <v>53</v>
      </c>
      <c r="AE204" t="s">
        <v>1194</v>
      </c>
      <c r="AG204" t="s">
        <v>1195</v>
      </c>
      <c r="AI204">
        <v>15500</v>
      </c>
      <c r="AJ204" t="s">
        <v>87</v>
      </c>
      <c r="AK204" t="s">
        <v>88</v>
      </c>
      <c r="AL204" t="s">
        <v>59</v>
      </c>
      <c r="AM204" t="s">
        <v>60</v>
      </c>
      <c r="AN204" t="s">
        <v>61</v>
      </c>
      <c r="AO204" t="s">
        <v>62</v>
      </c>
      <c r="AQ204" t="str">
        <f t="shared" si="9"/>
        <v>13 Rue de la Fontaine de Chalet, Massiac, , 15500, France</v>
      </c>
      <c r="AR204" t="str">
        <f t="shared" si="10"/>
        <v>French Client</v>
      </c>
      <c r="AS204" t="s">
        <v>64</v>
      </c>
      <c r="AT204">
        <v>55746</v>
      </c>
      <c r="AU204" t="str">
        <f t="shared" si="11"/>
        <v>High Client</v>
      </c>
    </row>
    <row r="205" spans="2:47" x14ac:dyDescent="0.25">
      <c r="B205" t="s">
        <v>1196</v>
      </c>
      <c r="C205" t="s">
        <v>75</v>
      </c>
      <c r="D205" t="s">
        <v>1197</v>
      </c>
      <c r="E205" t="s">
        <v>1198</v>
      </c>
      <c r="F205">
        <v>1</v>
      </c>
      <c r="G205" t="s">
        <v>1199</v>
      </c>
      <c r="H205" s="1">
        <v>44957</v>
      </c>
      <c r="I205" s="1">
        <v>44908</v>
      </c>
      <c r="J205" s="1">
        <v>44908</v>
      </c>
      <c r="K205" t="s">
        <v>47</v>
      </c>
      <c r="L205" t="s">
        <v>48</v>
      </c>
      <c r="M205" t="s">
        <v>47</v>
      </c>
      <c r="N205" s="1">
        <v>44427</v>
      </c>
      <c r="O205" s="1">
        <v>44908</v>
      </c>
      <c r="P205" t="s">
        <v>46</v>
      </c>
      <c r="Q205" t="s">
        <v>47</v>
      </c>
      <c r="R205" t="s">
        <v>47</v>
      </c>
      <c r="S205" t="s">
        <v>47</v>
      </c>
      <c r="V205" t="s">
        <v>47</v>
      </c>
      <c r="W205" t="s">
        <v>50</v>
      </c>
      <c r="X205" s="1">
        <v>44940</v>
      </c>
      <c r="Y205" t="s">
        <v>51</v>
      </c>
      <c r="Z205" s="1">
        <v>46007</v>
      </c>
      <c r="AA205" t="s">
        <v>50</v>
      </c>
      <c r="AB205" t="s">
        <v>52</v>
      </c>
      <c r="AC205" s="2">
        <v>0.15</v>
      </c>
      <c r="AD205" t="s">
        <v>53</v>
      </c>
      <c r="AE205" t="s">
        <v>1200</v>
      </c>
      <c r="AG205" t="s">
        <v>1201</v>
      </c>
      <c r="AI205">
        <v>1420</v>
      </c>
      <c r="AJ205" t="s">
        <v>164</v>
      </c>
      <c r="AK205" t="s">
        <v>88</v>
      </c>
      <c r="AL205" t="s">
        <v>59</v>
      </c>
      <c r="AM205" t="s">
        <v>60</v>
      </c>
      <c r="AN205" t="s">
        <v>61</v>
      </c>
      <c r="AO205" t="s">
        <v>62</v>
      </c>
      <c r="AQ205" t="str">
        <f t="shared" si="9"/>
        <v>77 Avenue LÃ©on Jourez, Braine-l'Alleud, , 1420, Belgique</v>
      </c>
      <c r="AR205" t="str">
        <f t="shared" si="10"/>
        <v>International Client</v>
      </c>
      <c r="AS205" t="s">
        <v>75</v>
      </c>
      <c r="AT205">
        <v>19740</v>
      </c>
      <c r="AU205" t="str">
        <f t="shared" si="11"/>
        <v>Medium Client</v>
      </c>
    </row>
    <row r="206" spans="2:47" x14ac:dyDescent="0.25">
      <c r="B206" t="s">
        <v>1202</v>
      </c>
      <c r="C206" t="s">
        <v>112</v>
      </c>
      <c r="D206" t="s">
        <v>1203</v>
      </c>
      <c r="E206" t="s">
        <v>1204</v>
      </c>
      <c r="F206">
        <v>1</v>
      </c>
      <c r="G206" t="s">
        <v>1205</v>
      </c>
      <c r="H206" s="1">
        <v>46002</v>
      </c>
      <c r="I206" s="1">
        <v>45695</v>
      </c>
      <c r="J206" s="1">
        <v>45695</v>
      </c>
      <c r="K206" t="s">
        <v>47</v>
      </c>
      <c r="L206" t="s">
        <v>48</v>
      </c>
      <c r="M206" t="s">
        <v>47</v>
      </c>
      <c r="N206" s="1">
        <v>45323</v>
      </c>
      <c r="O206" s="1">
        <v>45695</v>
      </c>
      <c r="P206" t="s">
        <v>46</v>
      </c>
      <c r="Q206" t="s">
        <v>47</v>
      </c>
      <c r="R206" t="s">
        <v>47</v>
      </c>
      <c r="S206" t="s">
        <v>47</v>
      </c>
      <c r="V206" t="s">
        <v>47</v>
      </c>
      <c r="W206" t="s">
        <v>50</v>
      </c>
      <c r="X206" s="1">
        <v>45703</v>
      </c>
      <c r="Y206" t="s">
        <v>51</v>
      </c>
      <c r="Z206" s="1">
        <v>46007</v>
      </c>
      <c r="AA206" t="s">
        <v>50</v>
      </c>
      <c r="AB206" t="s">
        <v>52</v>
      </c>
      <c r="AC206" s="2">
        <v>0.15</v>
      </c>
      <c r="AD206" t="s">
        <v>53</v>
      </c>
      <c r="AE206" t="s">
        <v>1206</v>
      </c>
      <c r="AG206" t="s">
        <v>1207</v>
      </c>
      <c r="AI206">
        <v>8700</v>
      </c>
      <c r="AJ206" t="s">
        <v>87</v>
      </c>
      <c r="AK206" t="s">
        <v>88</v>
      </c>
      <c r="AL206" t="s">
        <v>59</v>
      </c>
      <c r="AM206" t="s">
        <v>60</v>
      </c>
      <c r="AN206" t="s">
        <v>61</v>
      </c>
      <c r="AO206" t="s">
        <v>62</v>
      </c>
      <c r="AQ206" t="str">
        <f t="shared" si="9"/>
        <v>11 Rue Charles Jeunehomme, Nouzonville, , 8700, France</v>
      </c>
      <c r="AR206" t="str">
        <f t="shared" si="10"/>
        <v>French Client</v>
      </c>
      <c r="AS206" t="s">
        <v>112</v>
      </c>
      <c r="AT206">
        <v>15252</v>
      </c>
      <c r="AU206" t="str">
        <f t="shared" si="11"/>
        <v>Medium Client</v>
      </c>
    </row>
    <row r="207" spans="2:47" x14ac:dyDescent="0.25">
      <c r="B207" t="s">
        <v>1208</v>
      </c>
      <c r="C207" t="s">
        <v>64</v>
      </c>
      <c r="D207" t="s">
        <v>1209</v>
      </c>
      <c r="E207" t="s">
        <v>1210</v>
      </c>
      <c r="F207">
        <v>2</v>
      </c>
      <c r="G207" t="s">
        <v>1211</v>
      </c>
      <c r="H207" s="1">
        <v>45971</v>
      </c>
      <c r="I207" s="1">
        <v>45627</v>
      </c>
      <c r="J207" s="1">
        <v>45442</v>
      </c>
      <c r="K207" t="s">
        <v>47</v>
      </c>
      <c r="L207" t="s">
        <v>48</v>
      </c>
      <c r="M207" s="1">
        <v>45996</v>
      </c>
      <c r="N207" s="1">
        <v>45199</v>
      </c>
      <c r="O207" s="1">
        <v>45442</v>
      </c>
      <c r="P207" t="s">
        <v>46</v>
      </c>
      <c r="Q207" t="s">
        <v>47</v>
      </c>
      <c r="R207" t="s">
        <v>47</v>
      </c>
      <c r="S207" t="s">
        <v>47</v>
      </c>
      <c r="V207" t="s">
        <v>47</v>
      </c>
      <c r="W207" t="s">
        <v>50</v>
      </c>
      <c r="X207" s="1">
        <v>45631</v>
      </c>
      <c r="Y207" t="s">
        <v>51</v>
      </c>
      <c r="Z207" s="1">
        <v>46007</v>
      </c>
      <c r="AA207" t="s">
        <v>50</v>
      </c>
      <c r="AB207" t="s">
        <v>52</v>
      </c>
      <c r="AC207" s="2">
        <v>0.15</v>
      </c>
      <c r="AD207" t="s">
        <v>53</v>
      </c>
      <c r="AE207" t="s">
        <v>1212</v>
      </c>
      <c r="AG207" t="s">
        <v>1213</v>
      </c>
      <c r="AI207">
        <v>77210</v>
      </c>
      <c r="AJ207" t="s">
        <v>87</v>
      </c>
      <c r="AK207" t="s">
        <v>88</v>
      </c>
      <c r="AL207" t="s">
        <v>59</v>
      </c>
      <c r="AM207" t="s">
        <v>60</v>
      </c>
      <c r="AN207" t="s">
        <v>61</v>
      </c>
      <c r="AO207" t="s">
        <v>62</v>
      </c>
      <c r="AQ207" t="str">
        <f t="shared" si="9"/>
        <v>48 Rue du Viaduc, Avon, , 77210, France</v>
      </c>
      <c r="AR207" t="str">
        <f t="shared" si="10"/>
        <v>French Client</v>
      </c>
      <c r="AS207" t="s">
        <v>64</v>
      </c>
      <c r="AT207">
        <v>49806</v>
      </c>
      <c r="AU207" t="str">
        <f t="shared" si="11"/>
        <v>Medium Client</v>
      </c>
    </row>
    <row r="208" spans="2:47" x14ac:dyDescent="0.25">
      <c r="B208" t="s">
        <v>1214</v>
      </c>
      <c r="C208" t="s">
        <v>64</v>
      </c>
      <c r="D208" t="s">
        <v>1215</v>
      </c>
      <c r="E208" t="s">
        <v>1216</v>
      </c>
      <c r="F208">
        <v>1</v>
      </c>
      <c r="G208" t="s">
        <v>49</v>
      </c>
      <c r="H208" t="s">
        <v>47</v>
      </c>
      <c r="I208" s="1">
        <v>45656</v>
      </c>
      <c r="J208" s="1">
        <v>45656</v>
      </c>
      <c r="K208" t="s">
        <v>47</v>
      </c>
      <c r="L208" t="s">
        <v>48</v>
      </c>
      <c r="M208" t="s">
        <v>47</v>
      </c>
      <c r="N208" s="1">
        <v>45587</v>
      </c>
      <c r="O208" s="1">
        <v>45656</v>
      </c>
      <c r="P208" t="s">
        <v>46</v>
      </c>
      <c r="Q208" t="s">
        <v>47</v>
      </c>
      <c r="R208" t="s">
        <v>47</v>
      </c>
      <c r="S208" t="s">
        <v>47</v>
      </c>
      <c r="V208" t="s">
        <v>47</v>
      </c>
      <c r="W208" t="s">
        <v>50</v>
      </c>
      <c r="X208" s="1">
        <v>45663</v>
      </c>
      <c r="Y208" t="s">
        <v>51</v>
      </c>
      <c r="Z208" s="1">
        <v>46007</v>
      </c>
      <c r="AA208" t="s">
        <v>50</v>
      </c>
      <c r="AB208" t="s">
        <v>52</v>
      </c>
      <c r="AC208" s="2">
        <v>0.15</v>
      </c>
      <c r="AD208" t="s">
        <v>53</v>
      </c>
      <c r="AE208" t="s">
        <v>1217</v>
      </c>
      <c r="AG208" t="s">
        <v>1218</v>
      </c>
      <c r="AI208">
        <v>30420</v>
      </c>
      <c r="AJ208" t="s">
        <v>87</v>
      </c>
      <c r="AK208" t="s">
        <v>88</v>
      </c>
      <c r="AL208" t="s">
        <v>59</v>
      </c>
      <c r="AM208" t="s">
        <v>98</v>
      </c>
      <c r="AN208" t="s">
        <v>61</v>
      </c>
      <c r="AO208" t="s">
        <v>62</v>
      </c>
      <c r="AQ208" t="str">
        <f t="shared" si="9"/>
        <v>37 Rue des Fontaines, Calvisson, , 30420, France</v>
      </c>
      <c r="AR208" t="str">
        <f t="shared" si="10"/>
        <v>French Client</v>
      </c>
      <c r="AS208" t="s">
        <v>64</v>
      </c>
      <c r="AT208">
        <v>25094</v>
      </c>
      <c r="AU208" t="str">
        <f t="shared" si="11"/>
        <v>Medium Client</v>
      </c>
    </row>
    <row r="209" spans="2:47" x14ac:dyDescent="0.25">
      <c r="B209" t="s">
        <v>1219</v>
      </c>
      <c r="C209" t="s">
        <v>64</v>
      </c>
      <c r="D209" t="s">
        <v>1220</v>
      </c>
      <c r="E209" t="s">
        <v>1221</v>
      </c>
      <c r="F209">
        <v>5</v>
      </c>
      <c r="G209" t="s">
        <v>46</v>
      </c>
      <c r="H209" s="1">
        <v>45706</v>
      </c>
      <c r="I209" s="1">
        <v>45716</v>
      </c>
      <c r="J209" s="1">
        <v>45604</v>
      </c>
      <c r="K209" t="s">
        <v>47</v>
      </c>
      <c r="L209" t="s">
        <v>48</v>
      </c>
      <c r="M209" t="s">
        <v>47</v>
      </c>
      <c r="N209" s="1">
        <v>45500</v>
      </c>
      <c r="O209" s="1">
        <v>45604</v>
      </c>
      <c r="P209" t="s">
        <v>46</v>
      </c>
      <c r="Q209" t="s">
        <v>47</v>
      </c>
      <c r="R209" t="s">
        <v>47</v>
      </c>
      <c r="S209" t="s">
        <v>47</v>
      </c>
      <c r="T209" t="s">
        <v>67</v>
      </c>
      <c r="V209" t="s">
        <v>47</v>
      </c>
      <c r="W209" t="s">
        <v>50</v>
      </c>
      <c r="X209" s="1">
        <v>45716</v>
      </c>
      <c r="Y209" t="s">
        <v>51</v>
      </c>
      <c r="Z209" s="1">
        <v>46007</v>
      </c>
      <c r="AA209" t="s">
        <v>50</v>
      </c>
      <c r="AB209" t="s">
        <v>52</v>
      </c>
      <c r="AC209" s="2">
        <v>0.15</v>
      </c>
      <c r="AD209" t="s">
        <v>53</v>
      </c>
      <c r="AE209" t="s">
        <v>1222</v>
      </c>
      <c r="AG209" t="s">
        <v>1223</v>
      </c>
      <c r="AI209">
        <v>38460</v>
      </c>
      <c r="AJ209" t="s">
        <v>87</v>
      </c>
      <c r="AK209" t="s">
        <v>88</v>
      </c>
      <c r="AL209" t="s">
        <v>59</v>
      </c>
      <c r="AM209" t="s">
        <v>98</v>
      </c>
      <c r="AN209" t="s">
        <v>61</v>
      </c>
      <c r="AO209" t="s">
        <v>62</v>
      </c>
      <c r="AQ209" t="str">
        <f t="shared" si="9"/>
        <v>15 Rue des Equets, Leyrieu, , 38460, France</v>
      </c>
      <c r="AR209" t="str">
        <f t="shared" si="10"/>
        <v>French Client</v>
      </c>
      <c r="AS209" t="s">
        <v>64</v>
      </c>
      <c r="AT209">
        <v>60342</v>
      </c>
      <c r="AU209" t="str">
        <f t="shared" si="11"/>
        <v>High Client</v>
      </c>
    </row>
    <row r="210" spans="2:47" x14ac:dyDescent="0.25">
      <c r="B210" t="s">
        <v>1224</v>
      </c>
      <c r="C210" t="s">
        <v>64</v>
      </c>
      <c r="D210" t="s">
        <v>1225</v>
      </c>
      <c r="E210" t="s">
        <v>1226</v>
      </c>
      <c r="F210">
        <v>1</v>
      </c>
      <c r="G210" t="s">
        <v>49</v>
      </c>
      <c r="H210" t="s">
        <v>47</v>
      </c>
      <c r="I210" s="1">
        <v>45902</v>
      </c>
      <c r="J210" s="1">
        <v>45902</v>
      </c>
      <c r="K210" s="1">
        <v>45909</v>
      </c>
      <c r="L210" t="s">
        <v>48</v>
      </c>
      <c r="M210" t="s">
        <v>47</v>
      </c>
      <c r="N210" s="1">
        <v>45835</v>
      </c>
      <c r="O210" s="1">
        <v>45902</v>
      </c>
      <c r="P210" t="s">
        <v>46</v>
      </c>
      <c r="Q210" t="s">
        <v>47</v>
      </c>
      <c r="R210" t="s">
        <v>47</v>
      </c>
      <c r="S210" t="s">
        <v>47</v>
      </c>
      <c r="V210" t="s">
        <v>47</v>
      </c>
      <c r="W210" t="s">
        <v>50</v>
      </c>
      <c r="X210" s="1">
        <v>45909</v>
      </c>
      <c r="Y210" t="s">
        <v>51</v>
      </c>
      <c r="Z210" s="1">
        <v>46007</v>
      </c>
      <c r="AA210" t="s">
        <v>50</v>
      </c>
      <c r="AB210" t="s">
        <v>52</v>
      </c>
      <c r="AC210" s="2">
        <v>0.15</v>
      </c>
      <c r="AD210" t="s">
        <v>53</v>
      </c>
      <c r="AE210" t="s">
        <v>1227</v>
      </c>
      <c r="AG210" t="s">
        <v>1228</v>
      </c>
      <c r="AI210">
        <v>73370</v>
      </c>
      <c r="AJ210" t="s">
        <v>87</v>
      </c>
      <c r="AK210" t="s">
        <v>88</v>
      </c>
      <c r="AL210" t="s">
        <v>59</v>
      </c>
      <c r="AM210" t="s">
        <v>60</v>
      </c>
      <c r="AN210" t="s">
        <v>61</v>
      </c>
      <c r="AO210" t="s">
        <v>62</v>
      </c>
      <c r="AQ210" t="str">
        <f t="shared" si="9"/>
        <v>110 Rue des Ã‰coles, Le Bourget-du-Lac, , 73370, France</v>
      </c>
      <c r="AR210" t="str">
        <f t="shared" si="10"/>
        <v>French Client</v>
      </c>
      <c r="AS210" t="s">
        <v>64</v>
      </c>
      <c r="AT210">
        <v>11760</v>
      </c>
      <c r="AU210" t="str">
        <f t="shared" si="11"/>
        <v>Medium Client</v>
      </c>
    </row>
    <row r="211" spans="2:47" x14ac:dyDescent="0.25">
      <c r="B211" t="s">
        <v>1229</v>
      </c>
      <c r="C211" t="s">
        <v>64</v>
      </c>
      <c r="D211" t="s">
        <v>1230</v>
      </c>
      <c r="E211" t="s">
        <v>1231</v>
      </c>
      <c r="F211">
        <v>1</v>
      </c>
      <c r="G211" t="s">
        <v>49</v>
      </c>
      <c r="H211" t="s">
        <v>47</v>
      </c>
      <c r="I211" s="1">
        <v>45918</v>
      </c>
      <c r="J211" s="1">
        <v>45918</v>
      </c>
      <c r="K211" s="1">
        <v>45929</v>
      </c>
      <c r="L211" t="s">
        <v>48</v>
      </c>
      <c r="M211" s="1">
        <v>45999</v>
      </c>
      <c r="N211" s="1">
        <v>45692</v>
      </c>
      <c r="O211" s="1">
        <v>45918</v>
      </c>
      <c r="P211" t="s">
        <v>46</v>
      </c>
      <c r="Q211" t="s">
        <v>47</v>
      </c>
      <c r="R211" t="s">
        <v>47</v>
      </c>
      <c r="S211" t="s">
        <v>47</v>
      </c>
      <c r="V211" t="s">
        <v>47</v>
      </c>
      <c r="W211" t="s">
        <v>50</v>
      </c>
      <c r="X211" s="1">
        <v>45929</v>
      </c>
      <c r="Y211" t="s">
        <v>51</v>
      </c>
      <c r="Z211" s="1">
        <v>46007</v>
      </c>
      <c r="AA211" t="s">
        <v>50</v>
      </c>
      <c r="AB211" t="s">
        <v>52</v>
      </c>
      <c r="AC211" s="2">
        <v>0.15</v>
      </c>
      <c r="AD211" t="s">
        <v>53</v>
      </c>
      <c r="AE211" t="s">
        <v>1232</v>
      </c>
      <c r="AG211" t="s">
        <v>1233</v>
      </c>
      <c r="AI211">
        <v>5530</v>
      </c>
      <c r="AJ211" t="s">
        <v>164</v>
      </c>
      <c r="AK211" t="s">
        <v>88</v>
      </c>
      <c r="AL211" t="s">
        <v>59</v>
      </c>
      <c r="AM211" t="s">
        <v>60</v>
      </c>
      <c r="AN211" t="s">
        <v>61</v>
      </c>
      <c r="AO211" t="s">
        <v>62</v>
      </c>
      <c r="AQ211" t="str">
        <f t="shared" si="9"/>
        <v>Rue Docteur Gaston Therasse 1, YVOIR, , 5530, Belgique</v>
      </c>
      <c r="AR211" t="str">
        <f t="shared" si="10"/>
        <v>International Client</v>
      </c>
      <c r="AS211" t="s">
        <v>64</v>
      </c>
      <c r="AT211">
        <v>15324</v>
      </c>
      <c r="AU211" t="str">
        <f t="shared" si="11"/>
        <v>Medium Client</v>
      </c>
    </row>
    <row r="212" spans="2:47" x14ac:dyDescent="0.25">
      <c r="B212" t="s">
        <v>1234</v>
      </c>
      <c r="C212" t="s">
        <v>64</v>
      </c>
      <c r="D212" t="s">
        <v>1235</v>
      </c>
      <c r="E212" t="s">
        <v>1236</v>
      </c>
      <c r="F212">
        <v>2</v>
      </c>
      <c r="G212" t="s">
        <v>1237</v>
      </c>
      <c r="H212" s="1">
        <v>45897</v>
      </c>
      <c r="I212" s="1">
        <v>45854</v>
      </c>
      <c r="J212" s="1">
        <v>45751</v>
      </c>
      <c r="K212" t="s">
        <v>47</v>
      </c>
      <c r="L212" t="s">
        <v>48</v>
      </c>
      <c r="M212" t="s">
        <v>47</v>
      </c>
      <c r="N212" s="1">
        <v>45701</v>
      </c>
      <c r="O212" s="1">
        <v>45751</v>
      </c>
      <c r="P212" t="s">
        <v>46</v>
      </c>
      <c r="Q212" t="s">
        <v>47</v>
      </c>
      <c r="R212" t="s">
        <v>47</v>
      </c>
      <c r="S212" t="s">
        <v>47</v>
      </c>
      <c r="U212" t="s">
        <v>309</v>
      </c>
      <c r="V212" t="s">
        <v>47</v>
      </c>
      <c r="W212" t="s">
        <v>50</v>
      </c>
      <c r="X212" s="1">
        <v>45861</v>
      </c>
      <c r="Y212" t="s">
        <v>51</v>
      </c>
      <c r="Z212" s="1">
        <v>46007</v>
      </c>
      <c r="AA212" t="s">
        <v>50</v>
      </c>
      <c r="AB212" t="s">
        <v>52</v>
      </c>
      <c r="AC212" s="2">
        <v>0.15</v>
      </c>
      <c r="AD212" t="s">
        <v>53</v>
      </c>
      <c r="AE212" t="s">
        <v>1238</v>
      </c>
      <c r="AG212" t="s">
        <v>1239</v>
      </c>
      <c r="AI212">
        <v>40136</v>
      </c>
      <c r="AJ212" t="s">
        <v>96</v>
      </c>
      <c r="AK212" t="s">
        <v>97</v>
      </c>
      <c r="AL212" t="s">
        <v>59</v>
      </c>
      <c r="AM212" t="s">
        <v>98</v>
      </c>
      <c r="AN212" t="s">
        <v>61</v>
      </c>
      <c r="AO212" t="s">
        <v>62</v>
      </c>
      <c r="AQ212" t="str">
        <f t="shared" si="9"/>
        <v>11 Via Bagni di Mario, Bologna, , 40136, Italie</v>
      </c>
      <c r="AR212" t="str">
        <f t="shared" si="10"/>
        <v>International Client</v>
      </c>
      <c r="AS212" t="s">
        <v>64</v>
      </c>
      <c r="AT212">
        <v>26310</v>
      </c>
      <c r="AU212" t="str">
        <f t="shared" si="11"/>
        <v>Medium Client</v>
      </c>
    </row>
    <row r="213" spans="2:47" x14ac:dyDescent="0.25">
      <c r="B213" t="s">
        <v>1240</v>
      </c>
      <c r="C213" t="s">
        <v>64</v>
      </c>
      <c r="D213" t="s">
        <v>1241</v>
      </c>
      <c r="E213" t="s">
        <v>1242</v>
      </c>
      <c r="F213">
        <v>1</v>
      </c>
      <c r="G213" t="s">
        <v>49</v>
      </c>
      <c r="H213" t="s">
        <v>47</v>
      </c>
      <c r="I213" s="1">
        <v>45988</v>
      </c>
      <c r="J213" s="1">
        <v>45988</v>
      </c>
      <c r="K213" s="1">
        <v>45997</v>
      </c>
      <c r="L213" t="s">
        <v>48</v>
      </c>
      <c r="M213" t="s">
        <v>47</v>
      </c>
      <c r="N213" s="1">
        <v>45875</v>
      </c>
      <c r="O213" s="1">
        <v>45988</v>
      </c>
      <c r="P213" t="s">
        <v>46</v>
      </c>
      <c r="Q213" t="s">
        <v>47</v>
      </c>
      <c r="R213" t="s">
        <v>47</v>
      </c>
      <c r="S213" t="s">
        <v>47</v>
      </c>
      <c r="V213" t="s">
        <v>47</v>
      </c>
      <c r="W213" t="s">
        <v>50</v>
      </c>
      <c r="X213" s="1">
        <v>45997</v>
      </c>
      <c r="Y213" t="s">
        <v>51</v>
      </c>
      <c r="Z213" s="1">
        <v>46007</v>
      </c>
      <c r="AA213" t="s">
        <v>50</v>
      </c>
      <c r="AB213" t="s">
        <v>52</v>
      </c>
      <c r="AC213" s="2">
        <v>0.15</v>
      </c>
      <c r="AD213" t="s">
        <v>53</v>
      </c>
      <c r="AE213" t="s">
        <v>1243</v>
      </c>
      <c r="AG213" t="s">
        <v>1244</v>
      </c>
      <c r="AI213">
        <v>77460</v>
      </c>
      <c r="AJ213" t="s">
        <v>87</v>
      </c>
      <c r="AK213" t="s">
        <v>88</v>
      </c>
      <c r="AL213" t="s">
        <v>59</v>
      </c>
      <c r="AM213" t="s">
        <v>60</v>
      </c>
      <c r="AN213" t="s">
        <v>61</v>
      </c>
      <c r="AO213" t="s">
        <v>62</v>
      </c>
      <c r="AQ213" t="str">
        <f t="shared" si="9"/>
        <v>3 Rue de Sonville, Chaintreaux , , 77460, France</v>
      </c>
      <c r="AR213" t="str">
        <f t="shared" si="10"/>
        <v>French Client</v>
      </c>
      <c r="AS213" t="s">
        <v>64</v>
      </c>
      <c r="AT213">
        <v>19458</v>
      </c>
      <c r="AU213" t="str">
        <f t="shared" si="11"/>
        <v>Medium Client</v>
      </c>
    </row>
    <row r="214" spans="2:47" x14ac:dyDescent="0.25">
      <c r="B214" t="s">
        <v>1245</v>
      </c>
      <c r="C214" t="s">
        <v>112</v>
      </c>
      <c r="D214" t="s">
        <v>1246</v>
      </c>
      <c r="E214" t="s">
        <v>1247</v>
      </c>
      <c r="F214">
        <v>1</v>
      </c>
      <c r="G214" t="s">
        <v>46</v>
      </c>
      <c r="H214" t="s">
        <v>47</v>
      </c>
      <c r="I214" s="1">
        <v>45427</v>
      </c>
      <c r="J214" s="1">
        <v>45427</v>
      </c>
      <c r="K214" t="s">
        <v>47</v>
      </c>
      <c r="L214" t="s">
        <v>48</v>
      </c>
      <c r="M214" t="s">
        <v>47</v>
      </c>
      <c r="N214" s="1">
        <v>44733</v>
      </c>
      <c r="O214" s="1">
        <v>45427</v>
      </c>
      <c r="P214" t="s">
        <v>46</v>
      </c>
      <c r="Q214" t="s">
        <v>47</v>
      </c>
      <c r="R214" t="s">
        <v>47</v>
      </c>
      <c r="S214" t="s">
        <v>47</v>
      </c>
      <c r="V214" t="s">
        <v>47</v>
      </c>
      <c r="W214" t="s">
        <v>50</v>
      </c>
      <c r="X214" s="1">
        <v>45435</v>
      </c>
      <c r="Y214" t="s">
        <v>51</v>
      </c>
      <c r="Z214" s="1">
        <v>46007</v>
      </c>
      <c r="AA214" t="s">
        <v>50</v>
      </c>
      <c r="AB214" t="s">
        <v>52</v>
      </c>
      <c r="AC214" s="2">
        <v>0.15</v>
      </c>
      <c r="AD214" t="s">
        <v>53</v>
      </c>
      <c r="AE214" t="s">
        <v>1248</v>
      </c>
      <c r="AG214" t="s">
        <v>1249</v>
      </c>
      <c r="AI214">
        <v>31024</v>
      </c>
      <c r="AJ214" t="s">
        <v>96</v>
      </c>
      <c r="AK214" t="s">
        <v>97</v>
      </c>
      <c r="AL214" t="s">
        <v>59</v>
      </c>
      <c r="AM214" t="s">
        <v>60</v>
      </c>
      <c r="AN214" t="s">
        <v>61</v>
      </c>
      <c r="AO214" t="s">
        <v>62</v>
      </c>
      <c r="AQ214" t="str">
        <f t="shared" si="9"/>
        <v>n.3 via dell'Artigianato, Ormelle, , 31024, Italie</v>
      </c>
      <c r="AR214" t="str">
        <f t="shared" si="10"/>
        <v>International Client</v>
      </c>
      <c r="AS214" t="s">
        <v>112</v>
      </c>
      <c r="AT214">
        <v>23250</v>
      </c>
      <c r="AU214" t="str">
        <f t="shared" si="11"/>
        <v>Medium Client</v>
      </c>
    </row>
    <row r="215" spans="2:47" x14ac:dyDescent="0.25">
      <c r="B215" t="s">
        <v>1250</v>
      </c>
      <c r="C215" t="s">
        <v>112</v>
      </c>
      <c r="D215" t="s">
        <v>1251</v>
      </c>
      <c r="E215" t="s">
        <v>1252</v>
      </c>
      <c r="F215">
        <v>1</v>
      </c>
      <c r="G215" t="s">
        <v>49</v>
      </c>
      <c r="H215" t="s">
        <v>47</v>
      </c>
      <c r="I215" s="1">
        <v>45882</v>
      </c>
      <c r="J215" s="1">
        <v>45882</v>
      </c>
      <c r="K215" s="1">
        <v>45891</v>
      </c>
      <c r="L215" t="s">
        <v>48</v>
      </c>
      <c r="M215" t="s">
        <v>47</v>
      </c>
      <c r="N215" s="1">
        <v>44738</v>
      </c>
      <c r="O215" s="1">
        <v>45882</v>
      </c>
      <c r="P215" t="s">
        <v>646</v>
      </c>
      <c r="Q215" t="s">
        <v>47</v>
      </c>
      <c r="R215" t="s">
        <v>47</v>
      </c>
      <c r="S215" t="s">
        <v>47</v>
      </c>
      <c r="U215" t="s">
        <v>309</v>
      </c>
      <c r="V215" t="s">
        <v>47</v>
      </c>
      <c r="W215" t="s">
        <v>50</v>
      </c>
      <c r="X215" s="1">
        <v>45891</v>
      </c>
      <c r="Y215" t="s">
        <v>51</v>
      </c>
      <c r="Z215" s="1">
        <v>46007</v>
      </c>
      <c r="AA215" t="s">
        <v>50</v>
      </c>
      <c r="AB215" t="s">
        <v>52</v>
      </c>
      <c r="AC215" s="2">
        <v>0.15</v>
      </c>
      <c r="AD215" t="s">
        <v>53</v>
      </c>
      <c r="AE215" t="s">
        <v>1253</v>
      </c>
      <c r="AG215" t="s">
        <v>1254</v>
      </c>
      <c r="AI215">
        <v>2023</v>
      </c>
      <c r="AJ215" t="s">
        <v>649</v>
      </c>
      <c r="AK215" t="s">
        <v>88</v>
      </c>
      <c r="AL215" t="s">
        <v>59</v>
      </c>
      <c r="AM215" t="s">
        <v>60</v>
      </c>
      <c r="AN215" t="s">
        <v>61</v>
      </c>
      <c r="AO215" t="s">
        <v>62</v>
      </c>
      <c r="AQ215" t="s">
        <v>1357</v>
      </c>
      <c r="AR215" t="str">
        <f t="shared" si="10"/>
        <v>International Client</v>
      </c>
      <c r="AS215" t="s">
        <v>112</v>
      </c>
      <c r="AT215">
        <v>18466</v>
      </c>
      <c r="AU215" t="str">
        <f t="shared" si="11"/>
        <v>Medium Client</v>
      </c>
    </row>
    <row r="216" spans="2:47" x14ac:dyDescent="0.25">
      <c r="B216" t="s">
        <v>1255</v>
      </c>
      <c r="C216" t="s">
        <v>112</v>
      </c>
      <c r="D216" t="s">
        <v>1256</v>
      </c>
      <c r="E216" t="s">
        <v>1257</v>
      </c>
      <c r="F216">
        <v>1</v>
      </c>
      <c r="G216" t="s">
        <v>46</v>
      </c>
      <c r="H216" s="1">
        <v>45722</v>
      </c>
      <c r="I216" s="1">
        <v>45712</v>
      </c>
      <c r="J216" s="1">
        <v>45712</v>
      </c>
      <c r="K216" t="s">
        <v>47</v>
      </c>
      <c r="L216" t="s">
        <v>48</v>
      </c>
      <c r="M216" t="s">
        <v>47</v>
      </c>
      <c r="N216" s="1">
        <v>45700</v>
      </c>
      <c r="O216" s="1">
        <v>45712</v>
      </c>
      <c r="P216" t="s">
        <v>46</v>
      </c>
      <c r="Q216" t="s">
        <v>47</v>
      </c>
      <c r="R216" t="s">
        <v>47</v>
      </c>
      <c r="S216" t="s">
        <v>47</v>
      </c>
      <c r="T216" t="s">
        <v>67</v>
      </c>
      <c r="V216" t="s">
        <v>47</v>
      </c>
      <c r="W216" t="s">
        <v>50</v>
      </c>
      <c r="X216" s="1">
        <v>45716</v>
      </c>
      <c r="Y216" t="s">
        <v>51</v>
      </c>
      <c r="Z216" s="1">
        <v>46007</v>
      </c>
      <c r="AA216" t="s">
        <v>50</v>
      </c>
      <c r="AB216" t="s">
        <v>52</v>
      </c>
      <c r="AC216" s="2">
        <v>0.15</v>
      </c>
      <c r="AD216" t="s">
        <v>53</v>
      </c>
      <c r="AE216" t="s">
        <v>1258</v>
      </c>
      <c r="AG216" t="s">
        <v>1259</v>
      </c>
      <c r="AI216">
        <v>91270</v>
      </c>
      <c r="AJ216" t="s">
        <v>87</v>
      </c>
      <c r="AK216" t="s">
        <v>88</v>
      </c>
      <c r="AL216" t="s">
        <v>59</v>
      </c>
      <c r="AM216" t="s">
        <v>98</v>
      </c>
      <c r="AN216" t="s">
        <v>61</v>
      </c>
      <c r="AO216" t="s">
        <v>62</v>
      </c>
      <c r="AQ216" t="str">
        <f t="shared" si="9"/>
        <v>10B Avenue Henri Barbusse, Vigneux-sur-Seine, , 91270, France</v>
      </c>
      <c r="AR216" t="str">
        <f t="shared" si="10"/>
        <v>French Client</v>
      </c>
      <c r="AS216" t="s">
        <v>112</v>
      </c>
      <c r="AT216">
        <v>16610</v>
      </c>
      <c r="AU216" t="str">
        <f t="shared" si="11"/>
        <v>Medium Client</v>
      </c>
    </row>
    <row r="217" spans="2:47" x14ac:dyDescent="0.25">
      <c r="B217" t="s">
        <v>1260</v>
      </c>
      <c r="C217" t="s">
        <v>112</v>
      </c>
      <c r="D217" t="s">
        <v>1261</v>
      </c>
      <c r="E217" t="s">
        <v>1262</v>
      </c>
      <c r="F217">
        <v>2</v>
      </c>
      <c r="G217" t="s">
        <v>46</v>
      </c>
      <c r="H217" s="1">
        <v>45957</v>
      </c>
      <c r="I217" s="1">
        <v>45957</v>
      </c>
      <c r="J217" s="1">
        <v>45924</v>
      </c>
      <c r="K217" s="1">
        <v>45931</v>
      </c>
      <c r="L217" t="s">
        <v>48</v>
      </c>
      <c r="M217" t="s">
        <v>47</v>
      </c>
      <c r="N217" s="1">
        <v>45017</v>
      </c>
      <c r="O217" s="1">
        <v>45924</v>
      </c>
      <c r="P217" t="s">
        <v>46</v>
      </c>
      <c r="Q217" t="s">
        <v>47</v>
      </c>
      <c r="R217" t="s">
        <v>47</v>
      </c>
      <c r="S217" t="s">
        <v>47</v>
      </c>
      <c r="V217" t="s">
        <v>47</v>
      </c>
      <c r="W217" t="s">
        <v>50</v>
      </c>
      <c r="X217" s="1">
        <v>45960</v>
      </c>
      <c r="Y217" t="s">
        <v>51</v>
      </c>
      <c r="Z217" s="1">
        <v>46007</v>
      </c>
      <c r="AA217" t="s">
        <v>50</v>
      </c>
      <c r="AB217" t="s">
        <v>52</v>
      </c>
      <c r="AC217" s="2">
        <v>0.15</v>
      </c>
      <c r="AD217" t="s">
        <v>53</v>
      </c>
      <c r="AE217" t="s">
        <v>1263</v>
      </c>
      <c r="AG217" t="s">
        <v>1264</v>
      </c>
      <c r="AI217">
        <v>60350</v>
      </c>
      <c r="AJ217" t="s">
        <v>87</v>
      </c>
      <c r="AK217" t="s">
        <v>88</v>
      </c>
      <c r="AL217" t="s">
        <v>59</v>
      </c>
      <c r="AM217" t="s">
        <v>98</v>
      </c>
      <c r="AN217" t="s">
        <v>61</v>
      </c>
      <c r="AO217" t="s">
        <v>62</v>
      </c>
      <c r="AQ217" t="str">
        <f t="shared" si="9"/>
        <v>220 Rue des Lunetiers, Cuise-la-Motte, , 60350, France</v>
      </c>
      <c r="AR217" t="str">
        <f t="shared" si="10"/>
        <v>French Client</v>
      </c>
      <c r="AS217" t="s">
        <v>112</v>
      </c>
      <c r="AT217">
        <v>29880</v>
      </c>
      <c r="AU217" t="str">
        <f t="shared" si="11"/>
        <v>Medium Client</v>
      </c>
    </row>
    <row r="218" spans="2:47" x14ac:dyDescent="0.25">
      <c r="B218" t="s">
        <v>1265</v>
      </c>
      <c r="C218" t="s">
        <v>112</v>
      </c>
      <c r="D218" t="s">
        <v>1266</v>
      </c>
      <c r="E218" t="s">
        <v>1267</v>
      </c>
      <c r="F218">
        <v>1</v>
      </c>
      <c r="G218" t="s">
        <v>49</v>
      </c>
      <c r="H218" t="s">
        <v>47</v>
      </c>
      <c r="I218" s="1">
        <v>45988</v>
      </c>
      <c r="J218" s="1">
        <v>45988</v>
      </c>
      <c r="K218" s="1">
        <v>45999</v>
      </c>
      <c r="L218" t="s">
        <v>48</v>
      </c>
      <c r="M218" t="s">
        <v>47</v>
      </c>
      <c r="N218" s="1">
        <v>45926</v>
      </c>
      <c r="O218" s="1">
        <v>45988</v>
      </c>
      <c r="P218" t="s">
        <v>46</v>
      </c>
      <c r="Q218" t="s">
        <v>47</v>
      </c>
      <c r="R218" t="s">
        <v>47</v>
      </c>
      <c r="S218" t="s">
        <v>47</v>
      </c>
      <c r="V218" t="s">
        <v>47</v>
      </c>
      <c r="W218" t="s">
        <v>50</v>
      </c>
      <c r="X218" s="1">
        <v>45999</v>
      </c>
      <c r="Y218" t="s">
        <v>51</v>
      </c>
      <c r="Z218" s="1">
        <v>46007</v>
      </c>
      <c r="AA218" t="s">
        <v>50</v>
      </c>
      <c r="AB218" t="s">
        <v>52</v>
      </c>
      <c r="AC218" s="2">
        <v>0.15</v>
      </c>
      <c r="AD218" t="s">
        <v>53</v>
      </c>
      <c r="AE218" t="s">
        <v>1268</v>
      </c>
      <c r="AG218" t="s">
        <v>1269</v>
      </c>
      <c r="AI218">
        <v>44320</v>
      </c>
      <c r="AJ218" t="s">
        <v>87</v>
      </c>
      <c r="AK218" t="s">
        <v>88</v>
      </c>
      <c r="AL218" t="s">
        <v>59</v>
      </c>
      <c r="AM218" t="s">
        <v>60</v>
      </c>
      <c r="AN218" t="s">
        <v>61</v>
      </c>
      <c r="AO218" t="s">
        <v>62</v>
      </c>
      <c r="AQ218" t="s">
        <v>1365</v>
      </c>
      <c r="AR218" t="str">
        <f t="shared" si="10"/>
        <v>French Client</v>
      </c>
      <c r="AS218" t="s">
        <v>112</v>
      </c>
      <c r="AT218">
        <v>16200</v>
      </c>
      <c r="AU218" t="str">
        <f t="shared" si="11"/>
        <v>Medium Client</v>
      </c>
    </row>
    <row r="219" spans="2:47" x14ac:dyDescent="0.25">
      <c r="B219" t="s">
        <v>1270</v>
      </c>
      <c r="C219" t="s">
        <v>43</v>
      </c>
      <c r="D219" t="s">
        <v>1271</v>
      </c>
      <c r="E219" t="s">
        <v>1272</v>
      </c>
      <c r="F219">
        <v>2</v>
      </c>
      <c r="G219" t="s">
        <v>46</v>
      </c>
      <c r="H219" s="1">
        <v>45854</v>
      </c>
      <c r="I219" s="1">
        <v>45858</v>
      </c>
      <c r="J219" s="1">
        <v>45611</v>
      </c>
      <c r="K219" t="s">
        <v>47</v>
      </c>
      <c r="L219" t="s">
        <v>48</v>
      </c>
      <c r="M219" s="1">
        <v>45791</v>
      </c>
      <c r="N219" s="1">
        <v>45357</v>
      </c>
      <c r="O219" s="1">
        <v>45611</v>
      </c>
      <c r="P219" t="s">
        <v>46</v>
      </c>
      <c r="Q219" t="s">
        <v>47</v>
      </c>
      <c r="R219" t="s">
        <v>47</v>
      </c>
      <c r="S219" t="s">
        <v>47</v>
      </c>
      <c r="T219" t="s">
        <v>67</v>
      </c>
      <c r="V219" t="s">
        <v>47</v>
      </c>
      <c r="W219" t="s">
        <v>50</v>
      </c>
      <c r="X219" s="1">
        <v>45862</v>
      </c>
      <c r="Y219" t="s">
        <v>51</v>
      </c>
      <c r="Z219" s="1">
        <v>45790</v>
      </c>
      <c r="AA219" t="s">
        <v>50</v>
      </c>
      <c r="AB219" t="s">
        <v>52</v>
      </c>
      <c r="AC219" s="2">
        <v>0.15</v>
      </c>
      <c r="AD219" t="s">
        <v>53</v>
      </c>
      <c r="AE219" t="s">
        <v>1273</v>
      </c>
      <c r="AG219" t="s">
        <v>1274</v>
      </c>
      <c r="AI219">
        <v>5020</v>
      </c>
      <c r="AJ219" t="s">
        <v>1068</v>
      </c>
      <c r="AK219" t="s">
        <v>946</v>
      </c>
      <c r="AL219" t="s">
        <v>511</v>
      </c>
      <c r="AM219" t="s">
        <v>60</v>
      </c>
      <c r="AN219" t="s">
        <v>61</v>
      </c>
      <c r="AO219" t="s">
        <v>62</v>
      </c>
      <c r="AQ219" t="str">
        <f t="shared" si="9"/>
        <v>1 EuropastraÃŸe, Salzburg, , 5020, Autriche</v>
      </c>
      <c r="AR219" t="str">
        <f t="shared" si="10"/>
        <v>International Client</v>
      </c>
      <c r="AS219" t="s">
        <v>43</v>
      </c>
      <c r="AT219">
        <v>56340</v>
      </c>
      <c r="AU219" t="str">
        <f t="shared" si="11"/>
        <v>High Client</v>
      </c>
    </row>
    <row r="220" spans="2:47" x14ac:dyDescent="0.25">
      <c r="B220" t="s">
        <v>1275</v>
      </c>
      <c r="C220" t="s">
        <v>64</v>
      </c>
      <c r="D220" t="s">
        <v>1276</v>
      </c>
      <c r="E220" t="s">
        <v>1277</v>
      </c>
      <c r="F220">
        <v>1</v>
      </c>
      <c r="G220" t="s">
        <v>1278</v>
      </c>
      <c r="H220" s="1">
        <v>45563</v>
      </c>
      <c r="I220" s="1">
        <v>45282</v>
      </c>
      <c r="J220" s="1">
        <v>45282</v>
      </c>
      <c r="K220" t="s">
        <v>47</v>
      </c>
      <c r="L220" t="s">
        <v>48</v>
      </c>
      <c r="M220" t="s">
        <v>47</v>
      </c>
      <c r="N220" s="1">
        <v>45190</v>
      </c>
      <c r="O220" s="1">
        <v>45282</v>
      </c>
      <c r="P220" t="s">
        <v>46</v>
      </c>
      <c r="Q220" t="s">
        <v>47</v>
      </c>
      <c r="R220" t="s">
        <v>47</v>
      </c>
      <c r="S220" t="s">
        <v>47</v>
      </c>
      <c r="V220" t="s">
        <v>47</v>
      </c>
      <c r="W220" t="s">
        <v>50</v>
      </c>
      <c r="X220" s="1">
        <v>45324</v>
      </c>
      <c r="Y220" t="s">
        <v>51</v>
      </c>
      <c r="Z220" s="1">
        <v>46007</v>
      </c>
      <c r="AA220" t="s">
        <v>50</v>
      </c>
      <c r="AB220" t="s">
        <v>52</v>
      </c>
      <c r="AC220" s="2">
        <v>0.15</v>
      </c>
      <c r="AD220" t="s">
        <v>53</v>
      </c>
      <c r="AE220" t="s">
        <v>1279</v>
      </c>
      <c r="AG220" t="s">
        <v>1280</v>
      </c>
      <c r="AI220">
        <v>37000</v>
      </c>
      <c r="AJ220" t="s">
        <v>87</v>
      </c>
      <c r="AK220" t="s">
        <v>88</v>
      </c>
      <c r="AL220" t="s">
        <v>59</v>
      </c>
      <c r="AM220" t="s">
        <v>60</v>
      </c>
      <c r="AN220" t="s">
        <v>61</v>
      </c>
      <c r="AO220" t="s">
        <v>62</v>
      </c>
      <c r="AQ220" t="str">
        <f t="shared" si="9"/>
        <v>16 Rue Richelieu, Tours, , 37000, France</v>
      </c>
      <c r="AR220" t="str">
        <f t="shared" si="10"/>
        <v>French Client</v>
      </c>
      <c r="AS220" t="s">
        <v>64</v>
      </c>
      <c r="AT220">
        <v>21684</v>
      </c>
      <c r="AU220" t="str">
        <f t="shared" si="11"/>
        <v>Medium Client</v>
      </c>
    </row>
    <row r="221" spans="2:47" x14ac:dyDescent="0.25">
      <c r="B221" t="s">
        <v>1281</v>
      </c>
      <c r="C221" t="s">
        <v>112</v>
      </c>
      <c r="D221" t="s">
        <v>1282</v>
      </c>
      <c r="E221" t="s">
        <v>1283</v>
      </c>
      <c r="F221">
        <v>1</v>
      </c>
      <c r="G221" t="s">
        <v>49</v>
      </c>
      <c r="H221" t="s">
        <v>47</v>
      </c>
      <c r="I221" s="1">
        <v>45740</v>
      </c>
      <c r="J221" s="1">
        <v>45740</v>
      </c>
      <c r="K221" t="s">
        <v>47</v>
      </c>
      <c r="L221" t="s">
        <v>48</v>
      </c>
      <c r="M221" s="1">
        <v>45750</v>
      </c>
      <c r="N221" s="1">
        <v>45737</v>
      </c>
      <c r="O221" s="1">
        <v>45740</v>
      </c>
      <c r="P221" t="s">
        <v>1284</v>
      </c>
      <c r="Q221" t="s">
        <v>47</v>
      </c>
      <c r="R221" t="s">
        <v>47</v>
      </c>
      <c r="S221" t="s">
        <v>47</v>
      </c>
      <c r="V221" t="s">
        <v>47</v>
      </c>
      <c r="W221" t="s">
        <v>50</v>
      </c>
      <c r="X221" s="1">
        <v>45751</v>
      </c>
      <c r="Y221" t="s">
        <v>51</v>
      </c>
      <c r="Z221" s="1">
        <v>46007</v>
      </c>
      <c r="AA221" t="s">
        <v>50</v>
      </c>
      <c r="AB221" t="s">
        <v>52</v>
      </c>
      <c r="AC221" s="2">
        <v>0.15</v>
      </c>
      <c r="AD221" t="s">
        <v>53</v>
      </c>
      <c r="AE221" t="s">
        <v>1285</v>
      </c>
      <c r="AG221" t="s">
        <v>1286</v>
      </c>
      <c r="AI221">
        <v>4877</v>
      </c>
      <c r="AJ221" t="s">
        <v>1287</v>
      </c>
      <c r="AK221" t="s">
        <v>58</v>
      </c>
      <c r="AL221" t="s">
        <v>59</v>
      </c>
      <c r="AM221" t="s">
        <v>60</v>
      </c>
      <c r="AN221" t="s">
        <v>61</v>
      </c>
      <c r="AO221" t="s">
        <v>62</v>
      </c>
      <c r="AQ221" t="str">
        <f t="shared" si="9"/>
        <v>87-109 Port Douglas Road, Port Douglas, , 4877, Australie</v>
      </c>
      <c r="AR221" t="str">
        <f t="shared" si="10"/>
        <v>International Client</v>
      </c>
      <c r="AS221" t="s">
        <v>112</v>
      </c>
      <c r="AT221">
        <v>14406</v>
      </c>
      <c r="AU221" t="str">
        <f t="shared" si="11"/>
        <v>Medium Client</v>
      </c>
    </row>
    <row r="222" spans="2:47" x14ac:dyDescent="0.25">
      <c r="B222" t="s">
        <v>1288</v>
      </c>
      <c r="C222" t="s">
        <v>64</v>
      </c>
      <c r="D222" t="s">
        <v>1289</v>
      </c>
      <c r="E222" t="s">
        <v>1290</v>
      </c>
      <c r="F222">
        <v>1</v>
      </c>
      <c r="G222" t="s">
        <v>46</v>
      </c>
      <c r="H222" s="1">
        <v>45528</v>
      </c>
      <c r="I222" s="1">
        <v>45389</v>
      </c>
      <c r="J222" s="1">
        <v>45389</v>
      </c>
      <c r="K222" t="s">
        <v>47</v>
      </c>
      <c r="L222" t="s">
        <v>48</v>
      </c>
      <c r="M222" t="s">
        <v>47</v>
      </c>
      <c r="N222" s="1">
        <v>45001</v>
      </c>
      <c r="O222" s="1">
        <v>45389</v>
      </c>
      <c r="P222" t="s">
        <v>46</v>
      </c>
      <c r="Q222" t="s">
        <v>47</v>
      </c>
      <c r="R222" t="s">
        <v>47</v>
      </c>
      <c r="S222" t="s">
        <v>47</v>
      </c>
      <c r="V222" t="s">
        <v>47</v>
      </c>
      <c r="W222" t="s">
        <v>50</v>
      </c>
      <c r="X222" s="1">
        <v>45397</v>
      </c>
      <c r="Y222" t="s">
        <v>51</v>
      </c>
      <c r="Z222" s="1">
        <v>46007</v>
      </c>
      <c r="AA222" t="s">
        <v>50</v>
      </c>
      <c r="AB222" t="s">
        <v>52</v>
      </c>
      <c r="AC222" s="2">
        <v>0.15</v>
      </c>
      <c r="AD222" t="s">
        <v>53</v>
      </c>
      <c r="AE222" t="s">
        <v>1291</v>
      </c>
      <c r="AG222" t="s">
        <v>1292</v>
      </c>
      <c r="AI222" t="s">
        <v>1293</v>
      </c>
      <c r="AJ222" t="s">
        <v>1294</v>
      </c>
      <c r="AK222" t="s">
        <v>58</v>
      </c>
      <c r="AL222" t="s">
        <v>59</v>
      </c>
      <c r="AM222" t="s">
        <v>60</v>
      </c>
      <c r="AN222" t="s">
        <v>61</v>
      </c>
      <c r="AO222" t="s">
        <v>62</v>
      </c>
      <c r="AQ222" t="str">
        <f t="shared" si="9"/>
        <v>Manor Street, Dublin 7, , D07 X48X, Irlande</v>
      </c>
      <c r="AR222" t="str">
        <f t="shared" si="10"/>
        <v>International Client</v>
      </c>
      <c r="AS222" t="s">
        <v>64</v>
      </c>
      <c r="AT222">
        <v>32490</v>
      </c>
      <c r="AU222" t="str">
        <f t="shared" si="11"/>
        <v>Medium Client</v>
      </c>
    </row>
    <row r="223" spans="2:47" x14ac:dyDescent="0.25">
      <c r="B223" t="s">
        <v>1295</v>
      </c>
      <c r="C223" t="s">
        <v>75</v>
      </c>
      <c r="D223" t="s">
        <v>1296</v>
      </c>
      <c r="E223" t="s">
        <v>1297</v>
      </c>
      <c r="F223">
        <v>1</v>
      </c>
      <c r="G223" t="s">
        <v>49</v>
      </c>
      <c r="H223" t="s">
        <v>47</v>
      </c>
      <c r="I223" s="1">
        <v>45981</v>
      </c>
      <c r="J223" s="1">
        <v>45981</v>
      </c>
      <c r="K223" s="1">
        <v>45989</v>
      </c>
      <c r="L223" t="s">
        <v>48</v>
      </c>
      <c r="M223" t="s">
        <v>47</v>
      </c>
      <c r="N223" s="1">
        <v>45485</v>
      </c>
      <c r="O223" s="1">
        <v>45981</v>
      </c>
      <c r="P223" t="s">
        <v>646</v>
      </c>
      <c r="Q223" t="s">
        <v>47</v>
      </c>
      <c r="R223" t="s">
        <v>47</v>
      </c>
      <c r="S223" t="s">
        <v>47</v>
      </c>
      <c r="T223" t="s">
        <v>67</v>
      </c>
      <c r="V223" t="s">
        <v>47</v>
      </c>
      <c r="W223" t="s">
        <v>50</v>
      </c>
      <c r="X223" s="1">
        <v>45989</v>
      </c>
      <c r="Y223" t="s">
        <v>51</v>
      </c>
      <c r="Z223" s="1">
        <v>46007</v>
      </c>
      <c r="AA223" t="s">
        <v>50</v>
      </c>
      <c r="AB223" t="s">
        <v>52</v>
      </c>
      <c r="AC223" s="2">
        <v>0.15</v>
      </c>
      <c r="AD223" t="s">
        <v>53</v>
      </c>
      <c r="AE223" t="s">
        <v>1298</v>
      </c>
      <c r="AG223" t="s">
        <v>1299</v>
      </c>
      <c r="AI223">
        <v>68300</v>
      </c>
      <c r="AJ223" t="s">
        <v>87</v>
      </c>
      <c r="AK223" t="s">
        <v>88</v>
      </c>
      <c r="AL223" t="s">
        <v>59</v>
      </c>
      <c r="AM223" t="s">
        <v>60</v>
      </c>
      <c r="AN223" t="s">
        <v>61</v>
      </c>
      <c r="AO223" t="s">
        <v>62</v>
      </c>
      <c r="AQ223" t="str">
        <f t="shared" si="9"/>
        <v>11 Rue de la Paix, Saint-Louis, , 68300, France</v>
      </c>
      <c r="AR223" t="str">
        <f t="shared" si="10"/>
        <v>French Client</v>
      </c>
      <c r="AS223" t="s">
        <v>75</v>
      </c>
      <c r="AT223">
        <v>14544</v>
      </c>
      <c r="AU223" t="str">
        <f t="shared" si="11"/>
        <v>Medium Client</v>
      </c>
    </row>
    <row r="224" spans="2:47" x14ac:dyDescent="0.25">
      <c r="B224" t="s">
        <v>1300</v>
      </c>
      <c r="C224" t="s">
        <v>64</v>
      </c>
      <c r="D224" t="s">
        <v>1301</v>
      </c>
      <c r="E224" t="s">
        <v>1302</v>
      </c>
      <c r="F224">
        <v>1</v>
      </c>
      <c r="G224" t="s">
        <v>49</v>
      </c>
      <c r="H224" t="s">
        <v>47</v>
      </c>
      <c r="I224" s="1">
        <v>45628</v>
      </c>
      <c r="J224" s="1">
        <v>45628</v>
      </c>
      <c r="K224" t="s">
        <v>47</v>
      </c>
      <c r="L224" t="s">
        <v>48</v>
      </c>
      <c r="M224" t="s">
        <v>47</v>
      </c>
      <c r="N224" s="1">
        <v>44717</v>
      </c>
      <c r="O224" s="1">
        <v>45628</v>
      </c>
      <c r="P224" t="s">
        <v>46</v>
      </c>
      <c r="Q224" t="s">
        <v>47</v>
      </c>
      <c r="R224" t="s">
        <v>47</v>
      </c>
      <c r="S224" t="s">
        <v>47</v>
      </c>
      <c r="V224" t="s">
        <v>47</v>
      </c>
      <c r="W224" t="s">
        <v>50</v>
      </c>
      <c r="X224" s="1">
        <v>45635</v>
      </c>
      <c r="Y224" t="s">
        <v>51</v>
      </c>
      <c r="Z224" s="1">
        <v>46007</v>
      </c>
      <c r="AA224" t="s">
        <v>50</v>
      </c>
      <c r="AB224" t="s">
        <v>52</v>
      </c>
      <c r="AC224" s="2">
        <v>0.15</v>
      </c>
      <c r="AD224" t="s">
        <v>53</v>
      </c>
      <c r="AE224" t="s">
        <v>1303</v>
      </c>
      <c r="AG224" t="s">
        <v>1116</v>
      </c>
      <c r="AI224">
        <v>75010</v>
      </c>
      <c r="AJ224" t="s">
        <v>87</v>
      </c>
      <c r="AK224" t="s">
        <v>88</v>
      </c>
      <c r="AL224" t="s">
        <v>59</v>
      </c>
      <c r="AM224" t="s">
        <v>60</v>
      </c>
      <c r="AN224" t="s">
        <v>61</v>
      </c>
      <c r="AO224" t="s">
        <v>62</v>
      </c>
      <c r="AQ224" t="str">
        <f t="shared" si="9"/>
        <v>58 Passage Brady, Paris, , 75010, France</v>
      </c>
      <c r="AR224" t="str">
        <f t="shared" si="10"/>
        <v>French Client</v>
      </c>
      <c r="AS224" t="s">
        <v>64</v>
      </c>
      <c r="AT224">
        <v>13968</v>
      </c>
      <c r="AU224" t="str">
        <f t="shared" si="11"/>
        <v>Medium Client</v>
      </c>
    </row>
    <row r="225" spans="1:47" x14ac:dyDescent="0.25">
      <c r="B225" t="s">
        <v>1304</v>
      </c>
      <c r="C225" t="s">
        <v>285</v>
      </c>
      <c r="D225" t="s">
        <v>1305</v>
      </c>
      <c r="E225" t="s">
        <v>1306</v>
      </c>
      <c r="F225">
        <v>1</v>
      </c>
      <c r="G225" t="s">
        <v>46</v>
      </c>
      <c r="H225" t="s">
        <v>47</v>
      </c>
      <c r="I225" s="1">
        <v>45348</v>
      </c>
      <c r="J225" s="1">
        <v>45348</v>
      </c>
      <c r="K225" t="s">
        <v>47</v>
      </c>
      <c r="L225" t="s">
        <v>48</v>
      </c>
      <c r="M225" t="s">
        <v>47</v>
      </c>
      <c r="N225" s="1">
        <v>44500</v>
      </c>
      <c r="O225" s="1">
        <v>45348</v>
      </c>
      <c r="P225" t="s">
        <v>46</v>
      </c>
      <c r="Q225" t="s">
        <v>47</v>
      </c>
      <c r="R225" t="s">
        <v>47</v>
      </c>
      <c r="S225" t="s">
        <v>47</v>
      </c>
      <c r="V225" t="s">
        <v>47</v>
      </c>
      <c r="W225" t="s">
        <v>50</v>
      </c>
      <c r="X225" s="1">
        <v>45355</v>
      </c>
      <c r="Y225" t="s">
        <v>51</v>
      </c>
      <c r="Z225" s="1">
        <v>46007</v>
      </c>
      <c r="AA225" t="s">
        <v>50</v>
      </c>
      <c r="AB225" t="s">
        <v>52</v>
      </c>
      <c r="AC225" s="2">
        <v>0.15</v>
      </c>
      <c r="AD225" t="s">
        <v>53</v>
      </c>
      <c r="AE225" t="s">
        <v>1307</v>
      </c>
      <c r="AG225" t="s">
        <v>1308</v>
      </c>
      <c r="AI225">
        <v>74020</v>
      </c>
      <c r="AJ225" t="s">
        <v>96</v>
      </c>
      <c r="AK225" t="s">
        <v>97</v>
      </c>
      <c r="AL225" t="s">
        <v>59</v>
      </c>
      <c r="AM225" t="s">
        <v>60</v>
      </c>
      <c r="AN225" t="s">
        <v>61</v>
      </c>
      <c r="AO225" t="s">
        <v>62</v>
      </c>
      <c r="AQ225" t="str">
        <f t="shared" si="9"/>
        <v>n 67 Via A. De Gasperi, Avetrana, , 74020, Italie</v>
      </c>
      <c r="AR225" t="str">
        <f t="shared" si="10"/>
        <v>International Client</v>
      </c>
      <c r="AS225" t="s">
        <v>285</v>
      </c>
      <c r="AT225">
        <v>16890</v>
      </c>
      <c r="AU225" t="str">
        <f t="shared" si="11"/>
        <v>Medium Client</v>
      </c>
    </row>
    <row r="226" spans="1:47" x14ac:dyDescent="0.25">
      <c r="B226" t="s">
        <v>1309</v>
      </c>
      <c r="C226" t="s">
        <v>112</v>
      </c>
      <c r="D226" t="s">
        <v>1310</v>
      </c>
      <c r="E226" t="s">
        <v>1311</v>
      </c>
      <c r="F226">
        <v>1</v>
      </c>
      <c r="G226" t="s">
        <v>46</v>
      </c>
      <c r="H226" t="s">
        <v>47</v>
      </c>
      <c r="I226" s="1">
        <v>45262</v>
      </c>
      <c r="J226" s="1">
        <v>45262</v>
      </c>
      <c r="K226" t="s">
        <v>47</v>
      </c>
      <c r="L226" t="s">
        <v>48</v>
      </c>
      <c r="M226" t="s">
        <v>47</v>
      </c>
      <c r="N226" s="1">
        <v>45225</v>
      </c>
      <c r="O226" s="1">
        <v>45262</v>
      </c>
      <c r="P226" t="s">
        <v>46</v>
      </c>
      <c r="Q226" t="s">
        <v>47</v>
      </c>
      <c r="R226" t="s">
        <v>47</v>
      </c>
      <c r="S226" t="s">
        <v>47</v>
      </c>
      <c r="V226" t="s">
        <v>47</v>
      </c>
      <c r="W226" t="s">
        <v>50</v>
      </c>
      <c r="X226" s="1">
        <v>45279</v>
      </c>
      <c r="Y226" t="s">
        <v>51</v>
      </c>
      <c r="Z226" s="1">
        <v>45344</v>
      </c>
      <c r="AA226" t="s">
        <v>50</v>
      </c>
      <c r="AB226" t="s">
        <v>52</v>
      </c>
      <c r="AC226" s="2">
        <v>0.15</v>
      </c>
      <c r="AD226" t="s">
        <v>53</v>
      </c>
      <c r="AE226" t="s">
        <v>1312</v>
      </c>
      <c r="AG226" t="s">
        <v>1313</v>
      </c>
      <c r="AI226">
        <v>70010</v>
      </c>
      <c r="AJ226" t="s">
        <v>96</v>
      </c>
      <c r="AK226" t="s">
        <v>97</v>
      </c>
      <c r="AL226" t="s">
        <v>59</v>
      </c>
      <c r="AM226" t="s">
        <v>60</v>
      </c>
      <c r="AN226" t="s">
        <v>61</v>
      </c>
      <c r="AO226" t="s">
        <v>62</v>
      </c>
      <c r="AQ226" t="str">
        <f t="shared" si="9"/>
        <v>Via Pascoli 21/B, Casamassima, , 70010, Italie</v>
      </c>
      <c r="AR226" t="str">
        <f t="shared" si="10"/>
        <v>International Client</v>
      </c>
      <c r="AS226" t="s">
        <v>112</v>
      </c>
      <c r="AT226">
        <v>39432</v>
      </c>
      <c r="AU226" t="str">
        <f t="shared" si="11"/>
        <v>Medium Client</v>
      </c>
    </row>
    <row r="227" spans="1:47" x14ac:dyDescent="0.25">
      <c r="B227" t="s">
        <v>1314</v>
      </c>
      <c r="C227" t="s">
        <v>64</v>
      </c>
      <c r="D227" t="s">
        <v>1315</v>
      </c>
      <c r="E227" t="s">
        <v>200</v>
      </c>
      <c r="F227">
        <v>1</v>
      </c>
      <c r="G227" t="s">
        <v>1316</v>
      </c>
      <c r="H227" s="1">
        <v>45970</v>
      </c>
      <c r="I227" s="1">
        <v>45840</v>
      </c>
      <c r="J227" s="1">
        <v>45840</v>
      </c>
      <c r="K227" t="s">
        <v>47</v>
      </c>
      <c r="L227" t="s">
        <v>48</v>
      </c>
      <c r="M227" t="s">
        <v>47</v>
      </c>
      <c r="N227" s="1">
        <v>45674</v>
      </c>
      <c r="O227" s="1">
        <v>45840</v>
      </c>
      <c r="P227" t="s">
        <v>46</v>
      </c>
      <c r="Q227" t="s">
        <v>47</v>
      </c>
      <c r="R227" t="s">
        <v>47</v>
      </c>
      <c r="S227" t="s">
        <v>47</v>
      </c>
      <c r="V227" t="s">
        <v>47</v>
      </c>
      <c r="W227" t="s">
        <v>50</v>
      </c>
      <c r="X227" s="1">
        <v>45849</v>
      </c>
      <c r="Y227" t="s">
        <v>51</v>
      </c>
      <c r="Z227" s="1">
        <v>46007</v>
      </c>
      <c r="AA227" t="s">
        <v>50</v>
      </c>
      <c r="AB227" t="s">
        <v>52</v>
      </c>
      <c r="AC227" s="2">
        <v>0.15</v>
      </c>
      <c r="AD227" t="s">
        <v>53</v>
      </c>
      <c r="AE227" t="s">
        <v>1317</v>
      </c>
      <c r="AG227" t="s">
        <v>1318</v>
      </c>
      <c r="AI227">
        <v>55400</v>
      </c>
      <c r="AJ227" t="s">
        <v>87</v>
      </c>
      <c r="AK227" t="s">
        <v>88</v>
      </c>
      <c r="AL227" t="s">
        <v>59</v>
      </c>
      <c r="AM227" t="s">
        <v>98</v>
      </c>
      <c r="AN227" t="s">
        <v>61</v>
      </c>
      <c r="AO227" t="s">
        <v>62</v>
      </c>
      <c r="AQ227" t="str">
        <f t="shared" si="9"/>
        <v>10 Rue du Tilleul, Ã‰tain, , 55400, France</v>
      </c>
      <c r="AR227" t="str">
        <f t="shared" si="10"/>
        <v>French Client</v>
      </c>
      <c r="AS227" t="s">
        <v>64</v>
      </c>
      <c r="AT227">
        <v>19600</v>
      </c>
      <c r="AU227" t="str">
        <f t="shared" si="11"/>
        <v>Medium Client</v>
      </c>
    </row>
    <row r="228" spans="1:47" x14ac:dyDescent="0.25">
      <c r="B228" t="s">
        <v>1319</v>
      </c>
      <c r="C228" t="s">
        <v>64</v>
      </c>
      <c r="D228" t="s">
        <v>1320</v>
      </c>
      <c r="E228" t="s">
        <v>172</v>
      </c>
      <c r="F228">
        <v>1</v>
      </c>
      <c r="G228" t="s">
        <v>49</v>
      </c>
      <c r="H228" t="s">
        <v>47</v>
      </c>
      <c r="I228" s="1">
        <v>45973</v>
      </c>
      <c r="J228" s="1">
        <v>45973</v>
      </c>
      <c r="K228" s="1">
        <v>45981</v>
      </c>
      <c r="L228" t="s">
        <v>48</v>
      </c>
      <c r="M228" t="s">
        <v>47</v>
      </c>
      <c r="N228" s="1">
        <v>45382</v>
      </c>
      <c r="O228" s="1">
        <v>45973</v>
      </c>
      <c r="P228" t="s">
        <v>46</v>
      </c>
      <c r="Q228" t="s">
        <v>47</v>
      </c>
      <c r="R228" t="s">
        <v>47</v>
      </c>
      <c r="S228" t="s">
        <v>47</v>
      </c>
      <c r="V228" t="s">
        <v>47</v>
      </c>
      <c r="W228" t="s">
        <v>50</v>
      </c>
      <c r="X228" s="1">
        <v>45981</v>
      </c>
      <c r="Y228" t="s">
        <v>51</v>
      </c>
      <c r="Z228" s="1">
        <v>46007</v>
      </c>
      <c r="AA228" t="s">
        <v>50</v>
      </c>
      <c r="AB228" t="s">
        <v>52</v>
      </c>
      <c r="AC228" s="2">
        <v>0.15</v>
      </c>
      <c r="AD228" t="s">
        <v>53</v>
      </c>
      <c r="AE228" t="s">
        <v>1321</v>
      </c>
      <c r="AG228" t="s">
        <v>1322</v>
      </c>
      <c r="AI228">
        <v>21170</v>
      </c>
      <c r="AJ228" t="s">
        <v>87</v>
      </c>
      <c r="AK228" t="s">
        <v>88</v>
      </c>
      <c r="AL228" t="s">
        <v>137</v>
      </c>
      <c r="AM228" t="s">
        <v>60</v>
      </c>
      <c r="AN228" t="s">
        <v>61</v>
      </c>
      <c r="AO228" t="s">
        <v>62</v>
      </c>
      <c r="AQ228" t="str">
        <f t="shared" si="9"/>
        <v>12 Impasse des Lys, Losne, , 21170, France</v>
      </c>
      <c r="AR228" t="str">
        <f t="shared" si="10"/>
        <v>French Client</v>
      </c>
      <c r="AS228" t="s">
        <v>64</v>
      </c>
      <c r="AT228">
        <v>15840</v>
      </c>
      <c r="AU228" t="str">
        <f t="shared" si="11"/>
        <v>Medium Client</v>
      </c>
    </row>
    <row r="229" spans="1:47" x14ac:dyDescent="0.25">
      <c r="B229" t="s">
        <v>1323</v>
      </c>
      <c r="C229" t="s">
        <v>90</v>
      </c>
      <c r="D229" t="s">
        <v>1324</v>
      </c>
      <c r="E229" t="s">
        <v>1325</v>
      </c>
      <c r="F229">
        <v>1</v>
      </c>
      <c r="G229" t="s">
        <v>1326</v>
      </c>
      <c r="H229" s="1">
        <v>44980</v>
      </c>
      <c r="I229" s="1">
        <v>44804</v>
      </c>
      <c r="J229" s="1">
        <v>44804</v>
      </c>
      <c r="K229" t="s">
        <v>47</v>
      </c>
      <c r="L229" t="s">
        <v>48</v>
      </c>
      <c r="M229" s="1">
        <v>45129</v>
      </c>
      <c r="N229" s="1">
        <v>44709</v>
      </c>
      <c r="O229" s="1">
        <v>44804</v>
      </c>
      <c r="P229" t="s">
        <v>46</v>
      </c>
      <c r="Q229" t="s">
        <v>47</v>
      </c>
      <c r="R229" t="s">
        <v>47</v>
      </c>
      <c r="S229" t="s">
        <v>47</v>
      </c>
      <c r="V229" t="s">
        <v>47</v>
      </c>
      <c r="W229" t="s">
        <v>50</v>
      </c>
      <c r="X229" s="1">
        <v>44840</v>
      </c>
      <c r="Y229" t="s">
        <v>51</v>
      </c>
      <c r="Z229" s="1">
        <v>46007</v>
      </c>
      <c r="AA229" t="s">
        <v>50</v>
      </c>
      <c r="AB229" t="s">
        <v>52</v>
      </c>
      <c r="AC229" s="2">
        <v>0.15</v>
      </c>
      <c r="AD229" t="s">
        <v>53</v>
      </c>
      <c r="AE229" t="s">
        <v>1327</v>
      </c>
      <c r="AG229" t="s">
        <v>1328</v>
      </c>
      <c r="AI229">
        <v>40390</v>
      </c>
      <c r="AJ229" t="s">
        <v>87</v>
      </c>
      <c r="AK229" t="s">
        <v>88</v>
      </c>
      <c r="AL229" t="s">
        <v>59</v>
      </c>
      <c r="AM229" t="s">
        <v>60</v>
      </c>
      <c r="AN229" t="s">
        <v>61</v>
      </c>
      <c r="AO229" t="s">
        <v>62</v>
      </c>
      <c r="AQ229" t="str">
        <f t="shared" si="9"/>
        <v>Route Nationale 117, Biaudos, , 40390, France</v>
      </c>
      <c r="AR229" t="str">
        <f t="shared" si="10"/>
        <v>French Client</v>
      </c>
      <c r="AS229" t="s">
        <v>90</v>
      </c>
      <c r="AT229">
        <v>71678</v>
      </c>
      <c r="AU229" t="str">
        <f t="shared" si="11"/>
        <v>High Client</v>
      </c>
    </row>
    <row r="230" spans="1:47" x14ac:dyDescent="0.25">
      <c r="A230" t="s">
        <v>1329</v>
      </c>
      <c r="B230" t="s">
        <v>1330</v>
      </c>
      <c r="C230" t="s">
        <v>90</v>
      </c>
      <c r="D230" t="s">
        <v>1331</v>
      </c>
      <c r="E230" t="s">
        <v>1332</v>
      </c>
      <c r="F230">
        <v>1</v>
      </c>
      <c r="G230" t="s">
        <v>46</v>
      </c>
      <c r="H230" s="1">
        <v>45027</v>
      </c>
      <c r="I230" s="1">
        <v>44893</v>
      </c>
      <c r="J230" s="1">
        <v>44893</v>
      </c>
      <c r="K230" t="s">
        <v>47</v>
      </c>
      <c r="L230" t="s">
        <v>48</v>
      </c>
      <c r="M230" s="1">
        <v>45811</v>
      </c>
      <c r="N230" s="1">
        <v>44407</v>
      </c>
      <c r="O230" s="1">
        <v>44893</v>
      </c>
      <c r="P230" t="s">
        <v>46</v>
      </c>
      <c r="Q230" t="s">
        <v>47</v>
      </c>
      <c r="R230" t="s">
        <v>47</v>
      </c>
      <c r="S230" t="s">
        <v>47</v>
      </c>
      <c r="V230" s="1">
        <v>44893</v>
      </c>
      <c r="W230" t="s">
        <v>563</v>
      </c>
      <c r="X230" s="1">
        <v>44930</v>
      </c>
      <c r="Y230" t="s">
        <v>51</v>
      </c>
      <c r="Z230" s="1">
        <v>45811</v>
      </c>
      <c r="AA230" t="s">
        <v>117</v>
      </c>
      <c r="AB230" t="s">
        <v>52</v>
      </c>
      <c r="AC230" s="2">
        <v>0</v>
      </c>
      <c r="AD230" t="s">
        <v>488</v>
      </c>
      <c r="AE230" t="s">
        <v>1333</v>
      </c>
      <c r="AG230" t="s">
        <v>1334</v>
      </c>
      <c r="AI230">
        <v>93400</v>
      </c>
      <c r="AJ230" t="s">
        <v>87</v>
      </c>
      <c r="AK230" t="s">
        <v>88</v>
      </c>
      <c r="AL230" t="s">
        <v>511</v>
      </c>
      <c r="AM230" t="s">
        <v>60</v>
      </c>
      <c r="AN230" t="s">
        <v>61</v>
      </c>
      <c r="AO230" t="s">
        <v>62</v>
      </c>
      <c r="AQ230" t="str">
        <f t="shared" si="9"/>
        <v>4 Rue Charles Schmidt, Saint-Ouen-sur-Seine, , 93400, France</v>
      </c>
      <c r="AR230" t="str">
        <f t="shared" si="10"/>
        <v>French Client</v>
      </c>
      <c r="AS230" t="s">
        <v>90</v>
      </c>
      <c r="AT230">
        <v>16474</v>
      </c>
      <c r="AU230" t="str">
        <f t="shared" si="11"/>
        <v>Medium Client</v>
      </c>
    </row>
    <row r="231" spans="1:47" x14ac:dyDescent="0.25">
      <c r="B231" t="s">
        <v>1335</v>
      </c>
      <c r="C231" t="s">
        <v>64</v>
      </c>
      <c r="D231" t="s">
        <v>1336</v>
      </c>
      <c r="E231" t="s">
        <v>1337</v>
      </c>
      <c r="F231">
        <v>1</v>
      </c>
      <c r="G231" t="s">
        <v>1338</v>
      </c>
      <c r="H231" s="1">
        <v>45001</v>
      </c>
      <c r="I231" s="1">
        <v>44818</v>
      </c>
      <c r="J231" s="1">
        <v>44818</v>
      </c>
      <c r="K231" t="s">
        <v>47</v>
      </c>
      <c r="L231" t="s">
        <v>48</v>
      </c>
      <c r="M231" t="s">
        <v>47</v>
      </c>
      <c r="N231" s="1">
        <v>44365</v>
      </c>
      <c r="O231" s="1">
        <v>44818</v>
      </c>
      <c r="P231" t="s">
        <v>46</v>
      </c>
      <c r="Q231" t="s">
        <v>47</v>
      </c>
      <c r="R231" t="s">
        <v>47</v>
      </c>
      <c r="S231" t="s">
        <v>47</v>
      </c>
      <c r="V231" t="s">
        <v>47</v>
      </c>
      <c r="W231" t="s">
        <v>50</v>
      </c>
      <c r="X231" s="1">
        <v>44856</v>
      </c>
      <c r="Y231" t="s">
        <v>51</v>
      </c>
      <c r="Z231" s="1">
        <v>46007</v>
      </c>
      <c r="AA231" t="s">
        <v>50</v>
      </c>
      <c r="AB231" t="s">
        <v>52</v>
      </c>
      <c r="AC231" s="2">
        <v>0.15</v>
      </c>
      <c r="AD231" t="s">
        <v>53</v>
      </c>
      <c r="AE231" t="s">
        <v>1339</v>
      </c>
      <c r="AG231" t="s">
        <v>1340</v>
      </c>
      <c r="AI231">
        <v>62310</v>
      </c>
      <c r="AJ231" t="s">
        <v>87</v>
      </c>
      <c r="AK231" t="s">
        <v>88</v>
      </c>
      <c r="AL231" t="s">
        <v>59</v>
      </c>
      <c r="AM231" t="s">
        <v>60</v>
      </c>
      <c r="AN231" t="s">
        <v>61</v>
      </c>
      <c r="AO231" t="s">
        <v>62</v>
      </c>
      <c r="AQ231" t="str">
        <f t="shared" si="9"/>
        <v>12 rue principale, Radinghem, , 62310, France</v>
      </c>
      <c r="AR231" t="str">
        <f t="shared" si="10"/>
        <v>French Client</v>
      </c>
      <c r="AS231" t="s">
        <v>64</v>
      </c>
      <c r="AT231">
        <v>21900</v>
      </c>
      <c r="AU231" t="str">
        <f t="shared" si="11"/>
        <v>Medium Client</v>
      </c>
    </row>
    <row r="232" spans="1:47" x14ac:dyDescent="0.25">
      <c r="B232" t="s">
        <v>1341</v>
      </c>
      <c r="C232" t="s">
        <v>112</v>
      </c>
      <c r="D232" t="s">
        <v>1342</v>
      </c>
      <c r="E232" t="s">
        <v>1343</v>
      </c>
      <c r="F232">
        <v>1</v>
      </c>
      <c r="G232" t="s">
        <v>49</v>
      </c>
      <c r="H232" t="s">
        <v>47</v>
      </c>
      <c r="I232" s="1">
        <v>45961</v>
      </c>
      <c r="J232" s="1">
        <v>45961</v>
      </c>
      <c r="K232" s="1">
        <v>45973</v>
      </c>
      <c r="L232" t="s">
        <v>48</v>
      </c>
      <c r="M232" t="s">
        <v>47</v>
      </c>
      <c r="N232" s="1">
        <v>45928</v>
      </c>
      <c r="O232" s="1">
        <v>45961</v>
      </c>
      <c r="P232" t="s">
        <v>543</v>
      </c>
      <c r="Q232" t="s">
        <v>47</v>
      </c>
      <c r="R232" t="s">
        <v>47</v>
      </c>
      <c r="S232" t="s">
        <v>47</v>
      </c>
      <c r="V232" t="s">
        <v>47</v>
      </c>
      <c r="W232" t="s">
        <v>50</v>
      </c>
      <c r="X232" s="1">
        <v>45973</v>
      </c>
      <c r="Y232" t="s">
        <v>51</v>
      </c>
      <c r="Z232" s="1">
        <v>46007</v>
      </c>
      <c r="AA232" t="s">
        <v>50</v>
      </c>
      <c r="AB232" t="s">
        <v>52</v>
      </c>
      <c r="AC232" s="2">
        <v>0.15</v>
      </c>
      <c r="AD232" t="s">
        <v>53</v>
      </c>
      <c r="AE232" t="s">
        <v>1344</v>
      </c>
      <c r="AF232">
        <v>1303</v>
      </c>
      <c r="AG232" t="s">
        <v>1345</v>
      </c>
      <c r="AI232" t="s">
        <v>1346</v>
      </c>
      <c r="AJ232" t="s">
        <v>547</v>
      </c>
      <c r="AK232" t="s">
        <v>1347</v>
      </c>
      <c r="AL232" t="s">
        <v>59</v>
      </c>
      <c r="AM232" t="s">
        <v>60</v>
      </c>
      <c r="AN232" t="s">
        <v>61</v>
      </c>
      <c r="AO232" t="s">
        <v>62</v>
      </c>
      <c r="AQ232" t="s">
        <v>1363</v>
      </c>
      <c r="AR232" t="str">
        <f t="shared" si="10"/>
        <v>International Client</v>
      </c>
      <c r="AS232" t="s">
        <v>112</v>
      </c>
      <c r="AT232">
        <v>62166</v>
      </c>
      <c r="AU232" t="str">
        <f t="shared" si="11"/>
        <v>High Client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Tous les contacts-exportation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PC</cp:lastModifiedBy>
  <dcterms:created xsi:type="dcterms:W3CDTF">2026-01-02T16:15:07Z</dcterms:created>
  <dcterms:modified xsi:type="dcterms:W3CDTF">2026-01-03T08:07:39Z</dcterms:modified>
</cp:coreProperties>
</file>